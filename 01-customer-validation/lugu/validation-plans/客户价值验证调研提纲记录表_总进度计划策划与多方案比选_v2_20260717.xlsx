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 activeTab="2"/>
  </bookViews>
  <sheets>
    <sheet name="精简调研记录" sheetId="1" r:id="rId1"/>
    <sheet name="方案比选验证" sheetId="2" r:id="rId2"/>
    <sheet name="材料与结论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<sst xmlns="http://schemas.openxmlformats.org/spreadsheetml/2006/main" count="352" uniqueCount="135">
  <si>
    <t>总进度计划策划与多方案比选 · 客户调研记录</t>
  </si>
  <si>
    <t>聚焦两版计划思路变化：复现前期总进度计划的策划推导链，并验证系统能否围绕真实变量生成、解释和比较备选方案。</t>
  </si>
  <si>
    <t>访谈日期</t>
  </si>
  <si>
    <t>受访角色</t>
  </si>
  <si>
    <t>是否参与两版计划</t>
  </si>
  <si>
    <t>访谈人员</t>
  </si>
  <si>
    <t>验证范围</t>
  </si>
  <si>
    <t>记录状态</t>
  </si>
  <si>
    <t>本轮对照材料</t>
  </si>
  <si>
    <t>4月27日桥梁/架梁计划；6月6日总体进度计划</t>
  </si>
  <si>
    <t>序号</t>
  </si>
  <si>
    <t>核心环节</t>
  </si>
  <si>
    <t>面向客户的核心问题</t>
  </si>
  <si>
    <t>结合材料的追问点</t>
  </si>
  <si>
    <t>客户原话</t>
  </si>
  <si>
    <t>已确认事实</t>
  </si>
  <si>
    <t>产品判断</t>
  </si>
  <si>
    <t>待验证问题</t>
  </si>
  <si>
    <t>下一步动作</t>
  </si>
  <si>
    <t>思路变化</t>
  </si>
  <si>
    <t>请您对着两版表讲一下：4月版先算什么、再决定什么；6月版先定什么、再往下拆什么？</t>
  </si>
  <si>
    <t>对照4月版的单桥计算与架梁方案页，以及6月版的总体计划和“各专业及关键工点”。</t>
  </si>
  <si>
    <t/>
  </si>
  <si>
    <t>为什么会从4月版的方法调整到6月版？前一版最难解决什么，新一版希望解决什么？</t>
  </si>
  <si>
    <t>追问是范围扩大、关键节点控制、专业协调、数据维护还是决策方式发生变化。</t>
  </si>
  <si>
    <t>总控策划</t>
  </si>
  <si>
    <t>在6月版总控计划里，哪些内容必须先固定，哪些是计算以后得到的结果？</t>
  </si>
  <si>
    <t>区分总体目标、外部条件、关键节点、开工边界与计算得到的工期/日期。</t>
  </si>
  <si>
    <t>4月版单桥和架梁的详细计算，在6月版中哪些继续沿用、哪些被简化或改写、哪些不再使用？</t>
  </si>
  <si>
    <t>确认详细数据如何进入总控计划，避免把两版当作互不关联的文件。</t>
  </si>
  <si>
    <t>哪几条专业或关键工点关系真正决定总体工期？某个节点不满足时，通常先调整什么？</t>
  </si>
  <si>
    <t>请客户指出真实关键链及调整顺序；再追问资源、顺序、工作面、开始时间或施工条件。</t>
  </si>
  <si>
    <t>方案形成</t>
  </si>
  <si>
    <t>4月版中“3片/4片、互通早/晚”等方案分别要解决什么矛盾？这些方案是怎么被提出的？</t>
  </si>
  <si>
    <t>方案标签的具体含义以客户解释为准；记录触发方案的冲突和决策问题。</t>
  </si>
  <si>
    <t>做总进度计划时，哪些变量值得形成备选方案，哪些条件不能被方案改变？</t>
  </si>
  <si>
    <t>开放回答后，再追问顺序、资源、工作面、开工时间、产能、外部手续和季节影响。</t>
  </si>
  <si>
    <t>方案选择</t>
  </si>
  <si>
    <t>最终比较方案时，你们真正看哪些指标和底线？什么情况下一个方案会被直接否决？</t>
  </si>
  <si>
    <t>重点记录实际取舍规则，不预设权重；区分总体工期、关键节点、资源可行性和施工组织。</t>
  </si>
  <si>
    <t>价值验证</t>
  </si>
  <si>
    <t>如果系统复现6月版基准方案并生成2～3个可解释备选方案，出现什么具体结果，您会认为值得继续验证？下一轮选哪个真实问题？</t>
  </si>
  <si>
    <t>要求形成可验证证据：发现新冲突、形成可行新方案、解释取舍或快速重算；不能只记录“直观”。</t>
  </si>
  <si>
    <t>总进度计划 · 多方案比选验证记录</t>
  </si>
  <si>
    <t>先复现一套基准方案，再只改变客户确认的方案变量；所有方案必须在同一固定约束和同一比较口径下判断。</t>
  </si>
  <si>
    <t>基准方案来源</t>
  </si>
  <si>
    <t>6月6日总体进度计划的总控策划思路</t>
  </si>
  <si>
    <t>本轮真实问题</t>
  </si>
  <si>
    <t>客户复核角色</t>
  </si>
  <si>
    <t>验证日期</t>
  </si>
  <si>
    <t>方案数量</t>
  </si>
  <si>
    <t>总体结论</t>
  </si>
  <si>
    <t>一、方案定义与结果对照</t>
  </si>
  <si>
    <t>方案</t>
  </si>
  <si>
    <t>方案定位</t>
  </si>
  <si>
    <t>可调变量</t>
  </si>
  <si>
    <t>固定约束/边界</t>
  </si>
  <si>
    <t>预期解决的矛盾</t>
  </si>
  <si>
    <t>总体工期/完工</t>
  </si>
  <si>
    <t>关键节点影响</t>
  </si>
  <si>
    <t>资源/施工组织影响</t>
  </si>
  <si>
    <t>客户判断</t>
  </si>
  <si>
    <t>判断依据/客户原话</t>
  </si>
  <si>
    <t>基准方案</t>
  </si>
  <si>
    <t>复现6月版总控策划逻辑</t>
  </si>
  <si>
    <t>方案A</t>
  </si>
  <si>
    <t>方案B</t>
  </si>
  <si>
    <t>方案C</t>
  </si>
  <si>
    <t>二、方案比较口径（由客户确认，不预设权重）</t>
  </si>
  <si>
    <t>比较维度</t>
  </si>
  <si>
    <t>是否关键</t>
  </si>
  <si>
    <t>不可突破的底线</t>
  </si>
  <si>
    <t>客户实际判断口径</t>
  </si>
  <si>
    <t>证据/原话</t>
  </si>
  <si>
    <t>总体工期或完工时间</t>
  </si>
  <si>
    <t>关键节点是否满足</t>
  </si>
  <si>
    <t>资源配置是否可行</t>
  </si>
  <si>
    <t>施工顺序与工作面是否可执行</t>
  </si>
  <si>
    <t>外部条件和季节影响是否被考虑</t>
  </si>
  <si>
    <t>结果和差异是否可解释</t>
  </si>
  <si>
    <t>三、本轮选定的真实验证场景</t>
  </si>
  <si>
    <t>真实决策问题</t>
  </si>
  <si>
    <t>可调方案变量</t>
  </si>
  <si>
    <t>固定约束</t>
  </si>
  <si>
    <t>客户期望看到的结果</t>
  </si>
  <si>
    <t>通过标准</t>
  </si>
  <si>
    <t>不通过标准</t>
  </si>
  <si>
    <t>所需数据/复核人</t>
  </si>
  <si>
    <t>两版计划材料证据与验证结论</t>
  </si>
  <si>
    <t>一、材料事实、推断与待确认事项</t>
  </si>
  <si>
    <t>类别</t>
  </si>
  <si>
    <t>材料证据</t>
  </si>
  <si>
    <t>当前可以确认</t>
  </si>
  <si>
    <t>当前不能直接确认</t>
  </si>
  <si>
    <t>对调研的影响</t>
  </si>
  <si>
    <t>事实</t>
  </si>
  <si>
    <t>4月27日桥梁进度统计工作簿：15张工作表，含汇总、单桥构件工序和特殊结构施工工艺。</t>
  </si>
  <si>
    <t>以单桥构件和工序为粒度，使用工效、设备和前后时间公式计算。</t>
  </si>
  <si>
    <t>不能仅凭文件判断当时由谁维护、怎样评审。</t>
  </si>
  <si>
    <t>追问详细计算如何进入总控计划。</t>
  </si>
  <si>
    <t>4月27日架梁工期计划工作簿：包含“3片”“4片-互通早”“4片-互通晚”等独立方案页。</t>
  </si>
  <si>
    <t>方案页同时处理路线、路基、梁量、架梁日期和架梁方向。</t>
  </si>
  <si>
    <t>方案标签的精确定义及选择原因需要客户说明。</t>
  </si>
  <si>
    <t>直接追问方案如何提出和比较。</t>
  </si>
  <si>
    <t>6月6日总体进度计划工作簿：按总体计划、各专业与关键工点、数量基础进行汇总。</t>
  </si>
  <si>
    <t>总体工期由桥梁、路基、隧道、梁场等专业和关键节点逐层汇总。</t>
  </si>
  <si>
    <t>不能仅凭表格判断哪些日期是目标、哪些是计算结果。</t>
  </si>
  <si>
    <t>重点还原总控策划推导链。</t>
  </si>
  <si>
    <t>推断</t>
  </si>
  <si>
    <t>两版结构和公式组织方式发生变化。</t>
  </si>
  <si>
    <t>策划重心可能由局部桥梁/架梁可行性转向标段总体工期和专业协调。</t>
  </si>
  <si>
    <t>变化原因尚未得到客户确认。</t>
  </si>
  <si>
    <t>必须先确认变化动因，再判断产品机会。</t>
  </si>
  <si>
    <t>待确认</t>
  </si>
  <si>
    <t>4月版汇总页当前文件存在部分公式错误；6月版未单独设置方案比较页。</t>
  </si>
  <si>
    <t>当前材料存在维护和方案表达分散现象。</t>
  </si>
  <si>
    <t>不能据此判断客户原始文件质量或工作能力。</t>
  </si>
  <si>
    <t>访谈只询问维护方式和方案形成过程，不作负面归因。</t>
  </si>
  <si>
    <t>二、核心产品假设验证</t>
  </si>
  <si>
    <t>产品假设</t>
  </si>
  <si>
    <t>验证结果</t>
  </si>
  <si>
    <t>证据摘要</t>
  </si>
  <si>
    <t>限制/反证</t>
  </si>
  <si>
    <t>回流动作</t>
  </si>
  <si>
    <t>系统能够复现6月版基准方案的总控策划推导链</t>
  </si>
  <si>
    <t>系统能够把关键可调变量组织为可解释的备选方案</t>
  </si>
  <si>
    <t>方案比较结果能够支持客户选择或否决方案</t>
  </si>
  <si>
    <t>数据准备和方案配置成本具备未来落地可能</t>
  </si>
  <si>
    <t>三、总体结论与下一轮验证</t>
  </si>
  <si>
    <t>已记录核心问题</t>
  </si>
  <si>
    <t>客户价值原话</t>
  </si>
  <si>
    <t>成立的核心价值</t>
  </si>
  <si>
    <t>主要限制/反证</t>
  </si>
  <si>
    <t>下一轮真实验证场景</t>
  </si>
  <si>
    <t>回流方向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</si>
</sst>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"/>
  </numFmts>
  <fonts count="26">
    <font>
      <sz val="11"/>
      <name val="Carlito"/>
      <charset val="134"/>
    </font>
    <font>
      <b/>
      <sz val="18"/>
      <color rgb="FFFFFFFF"/>
      <name val="Microsoft YaHei"/>
      <charset val="134"/>
    </font>
    <font>
      <b/>
      <sz val="11"/>
      <color rgb="FFFFFFFF"/>
      <name val="Microsoft YaHei"/>
      <charset val="134"/>
    </font>
    <font>
      <b/>
      <sz val="10"/>
      <color rgb="FF17365D"/>
      <name val="Microsoft YaHei"/>
      <charset val="134"/>
    </font>
    <font>
      <sz val="10"/>
      <color rgb="FF1F2937"/>
      <name val="Microsoft YaHei"/>
      <charset val="134"/>
    </font>
    <font>
      <b/>
      <sz val="10"/>
      <color rgb="FFFFFFFF"/>
      <name val="Microsoft YaHei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9">
    <fill>
      <patternFill patternType="none"/>
    </fill>
    <fill>
      <patternFill patternType="gray125"/>
    </fill>
    <fill>
      <patternFill patternType="solid">
        <fgColor rgb="FF17365D"/>
        <bgColor indexed="64"/>
      </patternFill>
    </fill>
    <fill>
      <patternFill patternType="solid">
        <fgColor rgb="FF0F766E"/>
        <bgColor indexed="64"/>
      </patternFill>
    </fill>
    <fill>
      <patternFill patternType="solid">
        <fgColor rgb="FFD9EAF7"/>
        <bgColor indexed="64"/>
      </patternFill>
    </fill>
    <fill>
      <patternFill patternType="solid">
        <fgColor rgb="FFEAF3F8"/>
        <bgColor indexed="64"/>
      </patternFill>
    </fill>
    <fill>
      <patternFill patternType="solid">
        <fgColor rgb="FFF5F7FA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B8C2CC"/>
      </left>
      <right style="thin">
        <color rgb="FFB8C2CC"/>
      </right>
      <top style="thin">
        <color rgb="FFB8C2CC"/>
      </top>
      <bottom style="thin">
        <color rgb="FFB8C2CC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6" fillId="0" borderId="0">
      <alignment vertical="center"/>
    </xf>
    <xf numFmtId="43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8" borderId="2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9" borderId="5" applyNumberFormat="0" applyAlignment="0" applyProtection="0">
      <alignment vertical="center"/>
    </xf>
    <xf numFmtId="0" fontId="16" fillId="10" borderId="6" applyNumberFormat="0" applyAlignment="0" applyProtection="0">
      <alignment vertical="center"/>
    </xf>
    <xf numFmtId="0" fontId="17" fillId="10" borderId="5" applyNumberFormat="0" applyAlignment="0" applyProtection="0">
      <alignment vertical="center"/>
    </xf>
    <xf numFmtId="0" fontId="18" fillId="11" borderId="7" applyNumberFormat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5" fillId="36" borderId="0" applyNumberFormat="0" applyBorder="0" applyAlignment="0" applyProtection="0">
      <alignment vertical="center"/>
    </xf>
    <xf numFmtId="0" fontId="25" fillId="37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0" fillId="0" borderId="0"/>
  </cellStyleXfs>
  <cellXfs count="19">
    <xf numFmtId="0" fontId="0" fillId="0" borderId="0" xfId="49"/>
    <xf numFmtId="0" fontId="1" fillId="2" borderId="0" xfId="49" applyNumberFormat="1" applyFont="1" applyFill="1" applyBorder="1" applyAlignment="1">
      <alignment horizontal="center" vertical="center"/>
    </xf>
    <xf numFmtId="0" fontId="2" fillId="3" borderId="0" xfId="49" applyNumberFormat="1" applyFont="1" applyFill="1" applyBorder="1" applyAlignment="1">
      <alignment vertical="center"/>
    </xf>
    <xf numFmtId="0" fontId="3" fillId="4" borderId="1" xfId="49" applyNumberFormat="1" applyFont="1" applyFill="1" applyBorder="1" applyAlignment="1">
      <alignment horizontal="center" vertical="center" wrapText="1"/>
    </xf>
    <xf numFmtId="0" fontId="4" fillId="5" borderId="1" xfId="49" applyNumberFormat="1" applyFont="1" applyFill="1" applyBorder="1" applyAlignment="1">
      <alignment vertical="top" wrapText="1"/>
    </xf>
    <xf numFmtId="0" fontId="4" fillId="6" borderId="1" xfId="49" applyNumberFormat="1" applyFont="1" applyFill="1" applyBorder="1" applyAlignment="1">
      <alignment vertical="top" wrapText="1"/>
    </xf>
    <xf numFmtId="0" fontId="4" fillId="7" borderId="1" xfId="49" applyNumberFormat="1" applyFont="1" applyFill="1" applyBorder="1" applyAlignment="1">
      <alignment vertical="top" wrapText="1"/>
    </xf>
    <xf numFmtId="0" fontId="3" fillId="4" borderId="1" xfId="49" applyNumberFormat="1" applyFont="1" applyFill="1" applyBorder="1" applyAlignment="1">
      <alignment vertical="center" wrapText="1"/>
    </xf>
    <xf numFmtId="0" fontId="4" fillId="7" borderId="1" xfId="49" applyNumberFormat="1" applyFont="1" applyFill="1" applyBorder="1" applyAlignment="1">
      <alignment vertical="center" wrapText="1"/>
    </xf>
    <xf numFmtId="0" fontId="0" fillId="0" borderId="1" xfId="49" applyNumberFormat="1" applyFont="1" applyFill="1" applyBorder="1" applyAlignment="1">
      <alignment wrapText="1"/>
    </xf>
    <xf numFmtId="0" fontId="4" fillId="7" borderId="0" xfId="49" applyNumberFormat="1" applyFont="1" applyFill="1" applyBorder="1" applyAlignment="1">
      <alignment vertical="center" wrapText="1"/>
    </xf>
    <xf numFmtId="0" fontId="3" fillId="4" borderId="1" xfId="49" applyNumberFormat="1" applyFont="1" applyFill="1" applyBorder="1" applyAlignment="1">
      <alignment vertical="center"/>
    </xf>
    <xf numFmtId="176" fontId="4" fillId="7" borderId="1" xfId="49" applyNumberFormat="1" applyFont="1" applyFill="1" applyBorder="1" applyAlignment="1">
      <alignment vertical="center" wrapText="1"/>
    </xf>
    <xf numFmtId="0" fontId="3" fillId="4" borderId="0" xfId="49" applyNumberFormat="1" applyFont="1" applyFill="1" applyBorder="1" applyAlignment="1">
      <alignment horizontal="center" vertical="center" wrapText="1"/>
    </xf>
    <xf numFmtId="0" fontId="4" fillId="5" borderId="0" xfId="49" applyNumberFormat="1" applyFont="1" applyFill="1" applyBorder="1" applyAlignment="1">
      <alignment vertical="top" wrapText="1"/>
    </xf>
    <xf numFmtId="0" fontId="4" fillId="7" borderId="0" xfId="49" applyNumberFormat="1" applyFont="1" applyFill="1" applyBorder="1" applyAlignment="1">
      <alignment vertical="top" wrapText="1"/>
    </xf>
    <xf numFmtId="0" fontId="3" fillId="4" borderId="0" xfId="49" applyNumberFormat="1" applyFont="1" applyFill="1" applyBorder="1" applyAlignment="1">
      <alignment horizontal="center" vertical="center"/>
    </xf>
    <xf numFmtId="0" fontId="5" fillId="3" borderId="0" xfId="49" applyNumberFormat="1" applyFont="1" applyFill="1" applyBorder="1" applyAlignment="1">
      <alignment horizontal="center" vertical="center" wrapText="1"/>
    </xf>
    <xf numFmtId="0" fontId="4" fillId="5" borderId="0" xfId="49" applyNumberFormat="1" applyFont="1" applyFill="1" applyBorder="1" applyAlignment="1">
      <alignment horizontal="center" vertical="top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23">
    <dxf>
      <font>
        <b val="1"/>
        <color rgb="FF375623"/>
      </font>
      <fill>
        <patternFill patternType="solid">
          <bgColor rgb="FFC6E0B4"/>
        </patternFill>
      </fill>
    </dxf>
    <dxf>
      <font>
        <color rgb="FF375623"/>
      </font>
      <fill>
        <patternFill patternType="solid">
          <bgColor rgb="FFE2F0D9"/>
        </patternFill>
      </fill>
    </dxf>
    <dxf>
      <font>
        <color rgb="FF9C0006"/>
      </font>
      <fill>
        <patternFill patternType="solid">
          <bgColor rgb="FFFCE4D6"/>
        </patternFill>
      </fill>
    </dxf>
    <dxf>
      <font>
        <color rgb="FF595959"/>
      </font>
      <fill>
        <patternFill patternType="solid">
          <bgColor rgb="FFE7E6E6"/>
        </patternFill>
      </fill>
    </dxf>
    <dxf>
      <font>
        <b val="1"/>
        <color rgb="FF375623"/>
      </font>
      <fill>
        <patternFill patternType="solid">
          <bgColor rgb="FFE2F0D9"/>
        </patternFill>
      </fill>
    </dxf>
    <dxf>
      <font>
        <b val="1"/>
        <color rgb="FF9C0006"/>
      </font>
      <fill>
        <patternFill patternType="solid">
          <bgColor rgb="FFFCE4D6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2"/>
      <tableStyleElement type="headerRow" dxfId="11"/>
      <tableStyleElement type="totalRow" dxfId="10"/>
      <tableStyleElement type="firstColumn" dxfId="9"/>
      <tableStyleElement type="lastColumn" dxfId="8"/>
      <tableStyleElement type="firstRowStripe" dxfId="7"/>
      <tableStyleElement type="firstColumnStripe" dxfId="6"/>
    </tableStyle>
    <tableStyle name="PivotStylePreset2_Accent1" table="0" count="10" xr9:uid="{267968C8-6FFD-4C36-ACC1-9EA1FD1885CA}">
      <tableStyleElement type="headerRow" dxfId="22"/>
      <tableStyleElement type="totalRow" dxfId="21"/>
      <tableStyleElement type="firstRowStripe" dxfId="20"/>
      <tableStyleElement type="firstColumnStripe" dxfId="19"/>
      <tableStyleElement type="firstSubtotalRow" dxfId="18"/>
      <tableStyleElement type="secondSubtotalRow" dxfId="17"/>
      <tableStyleElement type="firstRowSubheading" dxfId="16"/>
      <tableStyleElement type="secondRowSubheading" dxfId="15"/>
      <tableStyleElement type="pageFieldLabels" dxfId="14"/>
      <tableStyleElement type="pageFieldValues" dxfId="13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name="FocusedInterviewTable" displayName="FocusedInterviewTable" ref="A7:I16" totalsRowShown="0">
  <tableColumns count="9">
    <tableColumn id="1" name="序号"/>
    <tableColumn id="2" name="核心环节"/>
    <tableColumn id="3" name="面向客户的核心问题"/>
    <tableColumn id="4" name="结合材料的追问点"/>
    <tableColumn id="5" name="客户原话"/>
    <tableColumn id="6" name="已确认事实"/>
    <tableColumn id="7" name="产品判断"/>
    <tableColumn id="8" name="待验证问题"/>
    <tableColumn id="9" name="下一步动作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SchemeComparisonTable" displayName="SchemeComparisonTable" ref="A8:J12" totalsRowShown="0">
  <tableColumns count="10">
    <tableColumn id="1" name="方案"/>
    <tableColumn id="2" name="方案定位"/>
    <tableColumn id="3" name="可调变量"/>
    <tableColumn id="4" name="固定约束/边界"/>
    <tableColumn id="5" name="预期解决的矛盾"/>
    <tableColumn id="6" name="总体工期/完工"/>
    <tableColumn id="7" name="关键节点影响"/>
    <tableColumn id="8" name="资源/施工组织影响"/>
    <tableColumn id="9" name="客户判断"/>
    <tableColumn id="10" name="判断依据/客户原话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ComparisonCriteriaTable" displayName="ComparisonCriteriaTable" ref="A15:E21" totalsRowShown="0">
  <tableColumns count="5">
    <tableColumn id="1" name="比较维度"/>
    <tableColumn id="2" name="是否关键"/>
    <tableColumn id="3" name="不可突破的底线"/>
    <tableColumn id="4" name="客户实际判断口径"/>
    <tableColumn id="5" name="证据/原话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6"/>
  <sheetViews>
    <sheetView showGridLines="0" topLeftCell="A10" workbookViewId="0">
      <selection activeCell="C16" sqref="C16"/>
    </sheetView>
  </sheetViews>
  <sheetFormatPr defaultColWidth="9" defaultRowHeight="14.25"/>
  <cols>
    <col min="1" max="1" width="7" customWidth="1"/>
    <col min="2" max="2" width="13" customWidth="1"/>
    <col min="3" max="3" width="42" customWidth="1"/>
    <col min="4" max="5" width="34" customWidth="1"/>
    <col min="6" max="6" width="32" customWidth="1"/>
    <col min="7" max="7" width="18" customWidth="1"/>
    <col min="8" max="8" width="28" customWidth="1"/>
    <col min="9" max="9" width="25" customWidth="1"/>
  </cols>
  <sheetData>
    <row r="1" ht="34" customHeight="1" spans="1:9">
      <c r="A1" s="1" t="s">
        <v>0</v>
      </c>
      <c r="B1" s="1"/>
      <c r="C1" s="1"/>
      <c r="D1" s="1"/>
      <c r="E1" s="1"/>
      <c r="F1" s="1"/>
      <c r="G1" s="1"/>
      <c r="H1" s="1"/>
      <c r="I1" s="1"/>
    </row>
    <row r="2" ht="32" customHeight="1" spans="1:9">
      <c r="A2" s="10" t="s">
        <v>1</v>
      </c>
      <c r="B2" s="10"/>
      <c r="C2" s="10"/>
      <c r="D2" s="10"/>
      <c r="E2" s="10"/>
      <c r="F2" s="10"/>
      <c r="G2" s="10"/>
      <c r="H2" s="10"/>
      <c r="I2" s="10"/>
    </row>
    <row r="4" ht="26" customHeight="1" spans="1:9">
      <c r="A4" s="11" t="s">
        <v>2</v>
      </c>
      <c r="B4" s="12"/>
      <c r="C4" s="11" t="s">
        <v>3</v>
      </c>
      <c r="D4" s="8"/>
      <c r="E4" s="11" t="s">
        <v>4</v>
      </c>
      <c r="F4" s="8"/>
      <c r="G4" s="11" t="s">
        <v>5</v>
      </c>
      <c r="H4" s="8"/>
      <c r="I4" s="8"/>
    </row>
    <row r="5" ht="26" customHeight="1" spans="1:9">
      <c r="A5" s="11" t="s">
        <v>6</v>
      </c>
      <c r="B5" s="8"/>
      <c r="C5" s="8"/>
      <c r="D5" s="8"/>
      <c r="E5" s="11" t="s">
        <v>7</v>
      </c>
      <c r="F5" s="8"/>
      <c r="G5" s="11" t="s">
        <v>8</v>
      </c>
      <c r="H5" s="8" t="s">
        <v>9</v>
      </c>
      <c r="I5" s="8"/>
    </row>
    <row r="7" ht="36" customHeight="1" spans="1:9">
      <c r="A7" s="17" t="s">
        <v>10</v>
      </c>
      <c r="B7" s="17" t="s">
        <v>11</v>
      </c>
      <c r="C7" s="17" t="s">
        <v>12</v>
      </c>
      <c r="D7" s="17" t="s">
        <v>13</v>
      </c>
      <c r="E7" s="17" t="s">
        <v>14</v>
      </c>
      <c r="F7" s="17" t="s">
        <v>15</v>
      </c>
      <c r="G7" s="17" t="s">
        <v>16</v>
      </c>
      <c r="H7" s="17" t="s">
        <v>17</v>
      </c>
      <c r="I7" s="17" t="s">
        <v>18</v>
      </c>
    </row>
    <row r="8" ht="76" customHeight="1" spans="1:9">
      <c r="A8" s="18">
        <v>1</v>
      </c>
      <c r="B8" s="18" t="s">
        <v>19</v>
      </c>
      <c r="C8" s="14" t="s">
        <v>20</v>
      </c>
      <c r="D8" s="14" t="s">
        <v>21</v>
      </c>
      <c r="E8" s="15" t="s">
        <v>22</v>
      </c>
      <c r="F8" s="15" t="s">
        <v>22</v>
      </c>
      <c r="G8" s="15" t="s">
        <v>22</v>
      </c>
      <c r="H8" s="15" t="s">
        <v>22</v>
      </c>
      <c r="I8" s="15" t="s">
        <v>22</v>
      </c>
    </row>
    <row r="9" ht="76" customHeight="1" spans="1:9">
      <c r="A9" s="18">
        <v>2</v>
      </c>
      <c r="B9" s="18" t="s">
        <v>19</v>
      </c>
      <c r="C9" s="14" t="s">
        <v>23</v>
      </c>
      <c r="D9" s="14" t="s">
        <v>24</v>
      </c>
      <c r="E9" s="15" t="s">
        <v>22</v>
      </c>
      <c r="F9" s="15" t="s">
        <v>22</v>
      </c>
      <c r="G9" s="15" t="s">
        <v>22</v>
      </c>
      <c r="H9" s="15" t="s">
        <v>22</v>
      </c>
      <c r="I9" s="15" t="s">
        <v>22</v>
      </c>
    </row>
    <row r="10" ht="76" customHeight="1" spans="1:9">
      <c r="A10" s="18">
        <v>3</v>
      </c>
      <c r="B10" s="18" t="s">
        <v>25</v>
      </c>
      <c r="C10" s="14" t="s">
        <v>26</v>
      </c>
      <c r="D10" s="14" t="s">
        <v>27</v>
      </c>
      <c r="E10" s="15" t="s">
        <v>22</v>
      </c>
      <c r="F10" s="15" t="s">
        <v>22</v>
      </c>
      <c r="G10" s="15" t="s">
        <v>22</v>
      </c>
      <c r="H10" s="15" t="s">
        <v>22</v>
      </c>
      <c r="I10" s="15" t="s">
        <v>22</v>
      </c>
    </row>
    <row r="11" ht="76" customHeight="1" spans="1:9">
      <c r="A11" s="18">
        <v>4</v>
      </c>
      <c r="B11" s="18" t="s">
        <v>25</v>
      </c>
      <c r="C11" s="14" t="s">
        <v>28</v>
      </c>
      <c r="D11" s="14" t="s">
        <v>29</v>
      </c>
      <c r="E11" s="15" t="s">
        <v>22</v>
      </c>
      <c r="F11" s="15" t="s">
        <v>22</v>
      </c>
      <c r="G11" s="15" t="s">
        <v>22</v>
      </c>
      <c r="H11" s="15" t="s">
        <v>22</v>
      </c>
      <c r="I11" s="15" t="s">
        <v>22</v>
      </c>
    </row>
    <row r="12" ht="76" customHeight="1" spans="1:9">
      <c r="A12" s="18">
        <v>5</v>
      </c>
      <c r="B12" s="18" t="s">
        <v>25</v>
      </c>
      <c r="C12" s="14" t="s">
        <v>30</v>
      </c>
      <c r="D12" s="14" t="s">
        <v>31</v>
      </c>
      <c r="E12" s="15" t="s">
        <v>22</v>
      </c>
      <c r="F12" s="15" t="s">
        <v>22</v>
      </c>
      <c r="G12" s="15" t="s">
        <v>22</v>
      </c>
      <c r="H12" s="15" t="s">
        <v>22</v>
      </c>
      <c r="I12" s="15" t="s">
        <v>22</v>
      </c>
    </row>
    <row r="13" ht="76" customHeight="1" spans="1:9">
      <c r="A13" s="18">
        <v>6</v>
      </c>
      <c r="B13" s="18" t="s">
        <v>32</v>
      </c>
      <c r="C13" s="14" t="s">
        <v>33</v>
      </c>
      <c r="D13" s="14" t="s">
        <v>34</v>
      </c>
      <c r="E13" s="15" t="s">
        <v>22</v>
      </c>
      <c r="F13" s="15" t="s">
        <v>22</v>
      </c>
      <c r="G13" s="15" t="s">
        <v>22</v>
      </c>
      <c r="H13" s="15" t="s">
        <v>22</v>
      </c>
      <c r="I13" s="15" t="s">
        <v>22</v>
      </c>
    </row>
    <row r="14" ht="76" customHeight="1" spans="1:9">
      <c r="A14" s="18">
        <v>7</v>
      </c>
      <c r="B14" s="18" t="s">
        <v>32</v>
      </c>
      <c r="C14" s="14" t="s">
        <v>35</v>
      </c>
      <c r="D14" s="14" t="s">
        <v>36</v>
      </c>
      <c r="E14" s="15" t="s">
        <v>22</v>
      </c>
      <c r="F14" s="15" t="s">
        <v>22</v>
      </c>
      <c r="G14" s="15" t="s">
        <v>22</v>
      </c>
      <c r="H14" s="15" t="s">
        <v>22</v>
      </c>
      <c r="I14" s="15" t="s">
        <v>22</v>
      </c>
    </row>
    <row r="15" ht="76" customHeight="1" spans="1:9">
      <c r="A15" s="18">
        <v>8</v>
      </c>
      <c r="B15" s="18" t="s">
        <v>37</v>
      </c>
      <c r="C15" s="14" t="s">
        <v>38</v>
      </c>
      <c r="D15" s="14" t="s">
        <v>39</v>
      </c>
      <c r="E15" s="15" t="s">
        <v>22</v>
      </c>
      <c r="F15" s="15" t="s">
        <v>22</v>
      </c>
      <c r="G15" s="15" t="s">
        <v>22</v>
      </c>
      <c r="H15" s="15" t="s">
        <v>22</v>
      </c>
      <c r="I15" s="15" t="s">
        <v>22</v>
      </c>
    </row>
    <row r="16" ht="76" customHeight="1" spans="1:9">
      <c r="A16" s="18">
        <v>9</v>
      </c>
      <c r="B16" s="18" t="s">
        <v>40</v>
      </c>
      <c r="C16" s="14" t="s">
        <v>41</v>
      </c>
      <c r="D16" s="14" t="s">
        <v>42</v>
      </c>
      <c r="E16" s="15" t="s">
        <v>22</v>
      </c>
      <c r="F16" s="15" t="s">
        <v>22</v>
      </c>
      <c r="G16" s="15" t="s">
        <v>22</v>
      </c>
      <c r="H16" s="15" t="s">
        <v>22</v>
      </c>
      <c r="I16" s="15" t="s">
        <v>22</v>
      </c>
    </row>
  </sheetData>
  <mergeCells count="5">
    <mergeCell ref="A1:I1"/>
    <mergeCell ref="A2:I2"/>
    <mergeCell ref="H4:I4"/>
    <mergeCell ref="B5:D5"/>
    <mergeCell ref="H5:I5"/>
  </mergeCells>
  <conditionalFormatting sqref="G8:G16">
    <cfRule type="containsText" dxfId="0" priority="1" operator="between" text="强成立">
      <formula>NOT(ISERROR(SEARCH("强成立",G8)))</formula>
    </cfRule>
    <cfRule type="containsText" dxfId="1" priority="2" operator="between" text="条件成立">
      <formula>NOT(ISERROR(SEARCH("条件成立",G8)))</formula>
    </cfRule>
    <cfRule type="containsText" dxfId="2" priority="3" operator="between" text="不成立">
      <formula>NOT(ISERROR(SEARCH("不成立",G8)))</formula>
    </cfRule>
    <cfRule type="containsText" dxfId="3" priority="4" operator="between" text="材料不足">
      <formula>NOT(ISERROR(SEARCH("材料不足",G8)))</formula>
    </cfRule>
  </conditionalFormatting>
  <dataValidations count="3">
    <dataValidation type="list" sqref="F4">
      <formula1>"两版均参与,仅参与4月版,仅参与6月版,未直接参与,待确认"</formula1>
    </dataValidation>
    <dataValidation type="list" sqref="F5">
      <formula1>"未开始,进行中,已完成"</formula1>
    </dataValidation>
    <dataValidation type="list" sqref="G8:G16">
      <formula1>"强成立,条件成立,弱成立,不成立,材料不足，暂不判断"</formula1>
    </dataValidation>
  </dataValidations>
  <pageMargins left="0.7" right="0.7" top="0.75" bottom="0.75" header="0.3" footer="0.3"/>
  <headerFooter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9"/>
  <sheetViews>
    <sheetView showGridLines="0" topLeftCell="A22" workbookViewId="0">
      <selection activeCell="A1" sqref="A1:J1"/>
    </sheetView>
  </sheetViews>
  <sheetFormatPr defaultColWidth="9" defaultRowHeight="14.25"/>
  <cols>
    <col min="1" max="1" width="14" customWidth="1"/>
    <col min="2" max="2" width="20" customWidth="1"/>
    <col min="3" max="5" width="25" customWidth="1"/>
    <col min="6" max="6" width="18" customWidth="1"/>
    <col min="7" max="7" width="20" customWidth="1"/>
    <col min="8" max="8" width="24" customWidth="1"/>
    <col min="9" max="9" width="18" customWidth="1"/>
    <col min="10" max="10" width="32" customWidth="1"/>
  </cols>
  <sheetData>
    <row r="1" ht="34" customHeight="1" spans="1:10">
      <c r="A1" s="1" t="s">
        <v>43</v>
      </c>
      <c r="B1" s="1"/>
      <c r="C1" s="1"/>
      <c r="D1" s="1"/>
      <c r="E1" s="1"/>
      <c r="F1" s="1"/>
      <c r="G1" s="1"/>
      <c r="H1" s="1"/>
      <c r="I1" s="1"/>
      <c r="J1" s="1"/>
    </row>
    <row r="2" ht="30" customHeight="1" spans="1:10">
      <c r="A2" s="10" t="s">
        <v>44</v>
      </c>
      <c r="B2" s="10"/>
      <c r="C2" s="10"/>
      <c r="D2" s="10"/>
      <c r="E2" s="10"/>
      <c r="F2" s="10"/>
      <c r="G2" s="10"/>
      <c r="H2" s="10"/>
      <c r="I2" s="10"/>
      <c r="J2" s="10"/>
    </row>
    <row r="4" ht="28" customHeight="1" spans="1:10">
      <c r="A4" s="11" t="s">
        <v>45</v>
      </c>
      <c r="B4" s="8" t="s">
        <v>46</v>
      </c>
      <c r="C4" s="8"/>
      <c r="D4" s="11" t="s">
        <v>47</v>
      </c>
      <c r="E4" s="8"/>
      <c r="F4" s="8"/>
      <c r="G4" s="8"/>
      <c r="H4" s="11" t="s">
        <v>48</v>
      </c>
      <c r="I4" s="8"/>
      <c r="J4" s="8"/>
    </row>
    <row r="5" ht="28" customHeight="1" spans="1:10">
      <c r="A5" s="11" t="s">
        <v>49</v>
      </c>
      <c r="B5" s="12"/>
      <c r="C5" s="11" t="s">
        <v>50</v>
      </c>
      <c r="D5" s="8"/>
      <c r="E5" s="11" t="s">
        <v>7</v>
      </c>
      <c r="F5" s="8"/>
      <c r="G5" s="11" t="s">
        <v>51</v>
      </c>
      <c r="H5" s="8"/>
      <c r="I5" s="8"/>
      <c r="J5" s="8"/>
    </row>
    <row r="7" ht="15" spans="1:10">
      <c r="A7" s="2" t="s">
        <v>52</v>
      </c>
      <c r="B7" s="2"/>
      <c r="C7" s="2"/>
      <c r="D7" s="2"/>
      <c r="E7" s="2"/>
      <c r="F7" s="2"/>
      <c r="G7" s="2"/>
      <c r="H7" s="2"/>
      <c r="I7" s="2"/>
      <c r="J7" s="2"/>
    </row>
    <row r="8" ht="40" customHeight="1" spans="1:10">
      <c r="A8" s="13" t="s">
        <v>53</v>
      </c>
      <c r="B8" s="13" t="s">
        <v>54</v>
      </c>
      <c r="C8" s="13" t="s">
        <v>55</v>
      </c>
      <c r="D8" s="13" t="s">
        <v>56</v>
      </c>
      <c r="E8" s="13" t="s">
        <v>57</v>
      </c>
      <c r="F8" s="13" t="s">
        <v>58</v>
      </c>
      <c r="G8" s="13" t="s">
        <v>59</v>
      </c>
      <c r="H8" s="13" t="s">
        <v>60</v>
      </c>
      <c r="I8" s="13" t="s">
        <v>61</v>
      </c>
      <c r="J8" s="13" t="s">
        <v>62</v>
      </c>
    </row>
    <row r="9" ht="66" customHeight="1" spans="1:10">
      <c r="A9" s="14" t="s">
        <v>63</v>
      </c>
      <c r="B9" s="14" t="s">
        <v>64</v>
      </c>
      <c r="C9" s="15" t="s">
        <v>22</v>
      </c>
      <c r="D9" s="15" t="s">
        <v>22</v>
      </c>
      <c r="E9" s="15" t="s">
        <v>22</v>
      </c>
      <c r="F9" s="15" t="s">
        <v>22</v>
      </c>
      <c r="G9" s="15" t="s">
        <v>22</v>
      </c>
      <c r="H9" s="15" t="s">
        <v>22</v>
      </c>
      <c r="I9" s="15" t="s">
        <v>22</v>
      </c>
      <c r="J9" s="15" t="s">
        <v>22</v>
      </c>
    </row>
    <row r="10" ht="66" customHeight="1" spans="1:10">
      <c r="A10" s="14" t="s">
        <v>65</v>
      </c>
      <c r="B10" s="14" t="s">
        <v>22</v>
      </c>
      <c r="C10" s="15" t="s">
        <v>22</v>
      </c>
      <c r="D10" s="15" t="s">
        <v>22</v>
      </c>
      <c r="E10" s="15" t="s">
        <v>22</v>
      </c>
      <c r="F10" s="15" t="s">
        <v>22</v>
      </c>
      <c r="G10" s="15" t="s">
        <v>22</v>
      </c>
      <c r="H10" s="15" t="s">
        <v>22</v>
      </c>
      <c r="I10" s="15" t="s">
        <v>22</v>
      </c>
      <c r="J10" s="15" t="s">
        <v>22</v>
      </c>
    </row>
    <row r="11" ht="66" customHeight="1" spans="1:10">
      <c r="A11" s="14" t="s">
        <v>66</v>
      </c>
      <c r="B11" s="14" t="s">
        <v>22</v>
      </c>
      <c r="C11" s="15" t="s">
        <v>22</v>
      </c>
      <c r="D11" s="15" t="s">
        <v>22</v>
      </c>
      <c r="E11" s="15" t="s">
        <v>22</v>
      </c>
      <c r="F11" s="15" t="s">
        <v>22</v>
      </c>
      <c r="G11" s="15" t="s">
        <v>22</v>
      </c>
      <c r="H11" s="15" t="s">
        <v>22</v>
      </c>
      <c r="I11" s="15" t="s">
        <v>22</v>
      </c>
      <c r="J11" s="15" t="s">
        <v>22</v>
      </c>
    </row>
    <row r="12" ht="66" customHeight="1" spans="1:10">
      <c r="A12" s="14" t="s">
        <v>67</v>
      </c>
      <c r="B12" s="14" t="s">
        <v>22</v>
      </c>
      <c r="C12" s="15" t="s">
        <v>22</v>
      </c>
      <c r="D12" s="15" t="s">
        <v>22</v>
      </c>
      <c r="E12" s="15" t="s">
        <v>22</v>
      </c>
      <c r="F12" s="15" t="s">
        <v>22</v>
      </c>
      <c r="G12" s="15" t="s">
        <v>22</v>
      </c>
      <c r="H12" s="15" t="s">
        <v>22</v>
      </c>
      <c r="I12" s="15" t="s">
        <v>22</v>
      </c>
      <c r="J12" s="15" t="s">
        <v>22</v>
      </c>
    </row>
    <row r="14" ht="15" spans="1:10">
      <c r="A14" s="2" t="s">
        <v>68</v>
      </c>
      <c r="B14" s="2"/>
      <c r="C14" s="2"/>
      <c r="D14" s="2"/>
      <c r="E14" s="2"/>
      <c r="F14" s="2"/>
      <c r="G14" s="2"/>
      <c r="H14" s="2"/>
      <c r="I14" s="2"/>
      <c r="J14" s="2"/>
    </row>
    <row r="15" ht="16.5" spans="1:10">
      <c r="A15" s="16" t="s">
        <v>69</v>
      </c>
      <c r="B15" s="16" t="s">
        <v>70</v>
      </c>
      <c r="C15" s="16" t="s">
        <v>71</v>
      </c>
      <c r="D15" s="16" t="s">
        <v>72</v>
      </c>
      <c r="E15" s="16" t="s">
        <v>73</v>
      </c>
    </row>
    <row r="16" ht="42" customHeight="1" spans="1:10">
      <c r="A16" s="14" t="s">
        <v>74</v>
      </c>
      <c r="B16" s="15" t="s">
        <v>22</v>
      </c>
      <c r="C16" s="15" t="s">
        <v>22</v>
      </c>
      <c r="D16" s="15" t="s">
        <v>22</v>
      </c>
      <c r="E16" s="15" t="s">
        <v>22</v>
      </c>
    </row>
    <row r="17" ht="42" customHeight="1" spans="1:10">
      <c r="A17" s="14" t="s">
        <v>75</v>
      </c>
      <c r="B17" s="15" t="s">
        <v>22</v>
      </c>
      <c r="C17" s="15" t="s">
        <v>22</v>
      </c>
      <c r="D17" s="15" t="s">
        <v>22</v>
      </c>
      <c r="E17" s="15" t="s">
        <v>22</v>
      </c>
    </row>
    <row r="18" ht="42" customHeight="1" spans="1:10">
      <c r="A18" s="14" t="s">
        <v>76</v>
      </c>
      <c r="B18" s="15" t="s">
        <v>22</v>
      </c>
      <c r="C18" s="15" t="s">
        <v>22</v>
      </c>
      <c r="D18" s="15" t="s">
        <v>22</v>
      </c>
      <c r="E18" s="15" t="s">
        <v>22</v>
      </c>
    </row>
    <row r="19" ht="42" customHeight="1" spans="1:10">
      <c r="A19" s="14" t="s">
        <v>77</v>
      </c>
      <c r="B19" s="15" t="s">
        <v>22</v>
      </c>
      <c r="C19" s="15" t="s">
        <v>22</v>
      </c>
      <c r="D19" s="15" t="s">
        <v>22</v>
      </c>
      <c r="E19" s="15" t="s">
        <v>22</v>
      </c>
    </row>
    <row r="20" ht="42" customHeight="1" spans="1:10">
      <c r="A20" s="14" t="s">
        <v>78</v>
      </c>
      <c r="B20" s="15" t="s">
        <v>22</v>
      </c>
      <c r="C20" s="15" t="s">
        <v>22</v>
      </c>
      <c r="D20" s="15" t="s">
        <v>22</v>
      </c>
      <c r="E20" s="15" t="s">
        <v>22</v>
      </c>
    </row>
    <row r="21" ht="42" customHeight="1" spans="1:10">
      <c r="A21" s="14" t="s">
        <v>79</v>
      </c>
      <c r="B21" s="15" t="s">
        <v>22</v>
      </c>
      <c r="C21" s="15" t="s">
        <v>22</v>
      </c>
      <c r="D21" s="15" t="s">
        <v>22</v>
      </c>
      <c r="E21" s="15" t="s">
        <v>22</v>
      </c>
    </row>
    <row r="23" ht="15" spans="1:10">
      <c r="A23" s="2" t="s">
        <v>80</v>
      </c>
      <c r="B23" s="2"/>
      <c r="C23" s="2"/>
      <c r="D23" s="2"/>
      <c r="E23" s="2"/>
      <c r="F23" s="2"/>
      <c r="G23" s="2"/>
      <c r="H23" s="2"/>
      <c r="I23" s="2"/>
      <c r="J23" s="2"/>
    </row>
    <row r="24" ht="42" customHeight="1" spans="1:10">
      <c r="A24" s="11" t="s">
        <v>81</v>
      </c>
      <c r="B24" s="8" t="s">
        <v>22</v>
      </c>
      <c r="C24" s="8" t="s">
        <v>22</v>
      </c>
      <c r="D24" s="8" t="s">
        <v>22</v>
      </c>
      <c r="E24" s="8" t="s">
        <v>22</v>
      </c>
      <c r="F24" s="8" t="s">
        <v>22</v>
      </c>
      <c r="G24" s="8" t="s">
        <v>22</v>
      </c>
      <c r="H24" s="8" t="s">
        <v>22</v>
      </c>
      <c r="I24" s="8" t="s">
        <v>22</v>
      </c>
      <c r="J24" s="8" t="s">
        <v>22</v>
      </c>
    </row>
    <row r="25" ht="42" customHeight="1" spans="1:10">
      <c r="A25" s="11" t="s">
        <v>82</v>
      </c>
      <c r="B25" s="8" t="s">
        <v>22</v>
      </c>
      <c r="C25" s="8" t="s">
        <v>22</v>
      </c>
      <c r="D25" s="8" t="s">
        <v>22</v>
      </c>
      <c r="E25" s="8" t="s">
        <v>22</v>
      </c>
      <c r="F25" s="11" t="s">
        <v>83</v>
      </c>
      <c r="G25" s="8" t="s">
        <v>22</v>
      </c>
      <c r="H25" s="8" t="s">
        <v>22</v>
      </c>
      <c r="I25" s="8" t="s">
        <v>22</v>
      </c>
      <c r="J25" s="8" t="s">
        <v>22</v>
      </c>
    </row>
    <row r="26" ht="42" customHeight="1" spans="1:10">
      <c r="A26" s="11" t="s">
        <v>84</v>
      </c>
      <c r="B26" s="8" t="s">
        <v>22</v>
      </c>
      <c r="C26" s="8" t="s">
        <v>22</v>
      </c>
      <c r="D26" s="8" t="s">
        <v>22</v>
      </c>
      <c r="E26" s="8" t="s">
        <v>22</v>
      </c>
      <c r="F26" s="8" t="s">
        <v>22</v>
      </c>
      <c r="G26" s="8" t="s">
        <v>22</v>
      </c>
      <c r="H26" s="8" t="s">
        <v>22</v>
      </c>
      <c r="I26" s="8" t="s">
        <v>22</v>
      </c>
      <c r="J26" s="8" t="s">
        <v>22</v>
      </c>
    </row>
    <row r="27" ht="42" customHeight="1" spans="1:10">
      <c r="A27" s="11" t="s">
        <v>85</v>
      </c>
      <c r="B27" s="8" t="s">
        <v>22</v>
      </c>
      <c r="C27" s="8" t="s">
        <v>22</v>
      </c>
      <c r="D27" s="8" t="s">
        <v>22</v>
      </c>
      <c r="E27" s="8" t="s">
        <v>22</v>
      </c>
      <c r="F27" s="8" t="s">
        <v>22</v>
      </c>
      <c r="G27" s="8" t="s">
        <v>22</v>
      </c>
      <c r="H27" s="8" t="s">
        <v>22</v>
      </c>
      <c r="I27" s="8" t="s">
        <v>22</v>
      </c>
      <c r="J27" s="8" t="s">
        <v>22</v>
      </c>
    </row>
    <row r="28" ht="42" customHeight="1" spans="1:10">
      <c r="A28" s="11" t="s">
        <v>86</v>
      </c>
      <c r="B28" s="8" t="s">
        <v>22</v>
      </c>
      <c r="C28" s="8" t="s">
        <v>22</v>
      </c>
      <c r="D28" s="8" t="s">
        <v>22</v>
      </c>
      <c r="E28" s="8" t="s">
        <v>22</v>
      </c>
      <c r="F28" s="8" t="s">
        <v>22</v>
      </c>
      <c r="G28" s="8" t="s">
        <v>22</v>
      </c>
      <c r="H28" s="8" t="s">
        <v>22</v>
      </c>
      <c r="I28" s="8" t="s">
        <v>22</v>
      </c>
      <c r="J28" s="8" t="s">
        <v>22</v>
      </c>
    </row>
    <row r="29" ht="42" customHeight="1" spans="1:10">
      <c r="A29" s="11" t="s">
        <v>87</v>
      </c>
      <c r="B29" s="8" t="s">
        <v>22</v>
      </c>
      <c r="C29" s="8" t="s">
        <v>22</v>
      </c>
      <c r="D29" s="8" t="s">
        <v>22</v>
      </c>
      <c r="E29" s="8" t="s">
        <v>22</v>
      </c>
      <c r="F29" s="8" t="s">
        <v>22</v>
      </c>
      <c r="G29" s="8" t="s">
        <v>22</v>
      </c>
      <c r="H29" s="8" t="s">
        <v>22</v>
      </c>
      <c r="I29" s="8" t="s">
        <v>22</v>
      </c>
      <c r="J29" s="8" t="s">
        <v>22</v>
      </c>
    </row>
  </sheetData>
  <mergeCells count="16">
    <mergeCell ref="A1:J1"/>
    <mergeCell ref="A2:J2"/>
    <mergeCell ref="B4:C4"/>
    <mergeCell ref="E4:G4"/>
    <mergeCell ref="I4:J4"/>
    <mergeCell ref="H5:J5"/>
    <mergeCell ref="A7:J7"/>
    <mergeCell ref="A14:J14"/>
    <mergeCell ref="A23:J23"/>
    <mergeCell ref="B24:J24"/>
    <mergeCell ref="B25:E25"/>
    <mergeCell ref="G25:J25"/>
    <mergeCell ref="B26:J26"/>
    <mergeCell ref="B27:J27"/>
    <mergeCell ref="B28:J28"/>
    <mergeCell ref="B29:J29"/>
  </mergeCells>
  <conditionalFormatting sqref="I9:I12">
    <cfRule type="containsText" dxfId="4" priority="1" operator="between" text="更优">
      <formula>NOT(ISERROR(SEARCH("更优",I9)))</formula>
    </cfRule>
    <cfRule type="containsText" dxfId="2" priority="2" operator="between" text="不可行">
      <formula>NOT(ISERROR(SEARCH("不可行",I9)))</formula>
    </cfRule>
    <cfRule type="containsText" dxfId="3" priority="3" operator="between" text="材料不足">
      <formula>NOT(ISERROR(SEARCH("材料不足",I9)))</formula>
    </cfRule>
  </conditionalFormatting>
  <dataValidations count="4">
    <dataValidation type="list" sqref="F5">
      <formula1>"未开始,进行中,已完成"</formula1>
    </dataValidation>
    <dataValidation type="list" sqref="H5">
      <formula1>"通过,条件通过,不通过,材料不足"</formula1>
    </dataValidation>
    <dataValidation type="list" sqref="B16:B21">
      <formula1>"是,否,待确认"</formula1>
    </dataValidation>
    <dataValidation type="list" sqref="I9:I12">
      <formula1>"更优,可行但非优选,不可行,材料不足"</formula1>
    </dataValidation>
  </dataValidations>
  <pageMargins left="0.7" right="0.7" top="0.75" bottom="0.75" header="0.3" footer="0.3"/>
  <headerFooter/>
  <tableParts count="2">
    <tablePart r:id="rId1"/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7"/>
  <sheetViews>
    <sheetView showGridLines="0" tabSelected="1" topLeftCell="A20" workbookViewId="0">
      <selection activeCell="A1" sqref="A1:E1"/>
    </sheetView>
  </sheetViews>
  <sheetFormatPr defaultColWidth="9" defaultRowHeight="14.25" outlineLevelCol="4"/>
  <cols>
    <col min="1" max="1" width="28" customWidth="1"/>
    <col min="2" max="4" width="32" customWidth="1"/>
    <col min="5" max="5" width="30" customWidth="1"/>
  </cols>
  <sheetData>
    <row r="1" ht="34" customHeight="1" spans="1:5">
      <c r="A1" s="1" t="s">
        <v>88</v>
      </c>
      <c r="B1" s="1"/>
      <c r="C1" s="1"/>
      <c r="D1" s="1"/>
      <c r="E1" s="1"/>
    </row>
    <row r="3" ht="15" spans="1:5">
      <c r="A3" s="2" t="s">
        <v>89</v>
      </c>
      <c r="B3" s="2"/>
      <c r="C3" s="2"/>
      <c r="D3" s="2"/>
      <c r="E3" s="2"/>
    </row>
    <row r="4" ht="16.5" spans="1:5">
      <c r="A4" s="3" t="s">
        <v>90</v>
      </c>
      <c r="B4" s="3" t="s">
        <v>91</v>
      </c>
      <c r="C4" s="3" t="s">
        <v>92</v>
      </c>
      <c r="D4" s="3" t="s">
        <v>93</v>
      </c>
      <c r="E4" s="3" t="s">
        <v>94</v>
      </c>
    </row>
    <row r="5" ht="74" customHeight="1" spans="1:5">
      <c r="A5" s="4" t="s">
        <v>95</v>
      </c>
      <c r="B5" s="5" t="s">
        <v>96</v>
      </c>
      <c r="C5" s="5" t="s">
        <v>97</v>
      </c>
      <c r="D5" s="5" t="s">
        <v>98</v>
      </c>
      <c r="E5" s="5" t="s">
        <v>99</v>
      </c>
    </row>
    <row r="6" ht="74" customHeight="1" spans="1:5">
      <c r="A6" s="4" t="s">
        <v>95</v>
      </c>
      <c r="B6" s="5" t="s">
        <v>100</v>
      </c>
      <c r="C6" s="5" t="s">
        <v>101</v>
      </c>
      <c r="D6" s="5" t="s">
        <v>102</v>
      </c>
      <c r="E6" s="5" t="s">
        <v>103</v>
      </c>
    </row>
    <row r="7" ht="74" customHeight="1" spans="1:5">
      <c r="A7" s="4" t="s">
        <v>95</v>
      </c>
      <c r="B7" s="5" t="s">
        <v>104</v>
      </c>
      <c r="C7" s="5" t="s">
        <v>105</v>
      </c>
      <c r="D7" s="5" t="s">
        <v>106</v>
      </c>
      <c r="E7" s="5" t="s">
        <v>107</v>
      </c>
    </row>
    <row r="8" ht="74" customHeight="1" spans="1:5">
      <c r="A8" s="4" t="s">
        <v>108</v>
      </c>
      <c r="B8" s="5" t="s">
        <v>109</v>
      </c>
      <c r="C8" s="5" t="s">
        <v>110</v>
      </c>
      <c r="D8" s="5" t="s">
        <v>111</v>
      </c>
      <c r="E8" s="5" t="s">
        <v>112</v>
      </c>
    </row>
    <row r="9" ht="74" customHeight="1" spans="1:5">
      <c r="A9" s="4" t="s">
        <v>113</v>
      </c>
      <c r="B9" s="5" t="s">
        <v>114</v>
      </c>
      <c r="C9" s="5" t="s">
        <v>115</v>
      </c>
      <c r="D9" s="5" t="s">
        <v>116</v>
      </c>
      <c r="E9" s="5" t="s">
        <v>117</v>
      </c>
    </row>
    <row r="11" ht="15" spans="1:5">
      <c r="A11" s="2" t="s">
        <v>118</v>
      </c>
      <c r="B11" s="2"/>
      <c r="C11" s="2"/>
      <c r="D11" s="2"/>
      <c r="E11" s="2"/>
    </row>
    <row r="12" ht="16.5" spans="1:5">
      <c r="A12" s="3" t="s">
        <v>119</v>
      </c>
      <c r="B12" s="3" t="s">
        <v>120</v>
      </c>
      <c r="C12" s="3" t="s">
        <v>121</v>
      </c>
      <c r="D12" s="3" t="s">
        <v>122</v>
      </c>
      <c r="E12" s="3" t="s">
        <v>123</v>
      </c>
    </row>
    <row r="13" ht="58" customHeight="1" spans="1:5">
      <c r="A13" s="4" t="s">
        <v>124</v>
      </c>
      <c r="B13" s="6" t="s">
        <v>22</v>
      </c>
      <c r="C13" s="6" t="s">
        <v>22</v>
      </c>
      <c r="D13" s="6" t="s">
        <v>22</v>
      </c>
      <c r="E13" s="6" t="s">
        <v>22</v>
      </c>
    </row>
    <row r="14" ht="58" customHeight="1" spans="1:5">
      <c r="A14" s="4" t="s">
        <v>125</v>
      </c>
      <c r="B14" s="6" t="s">
        <v>22</v>
      </c>
      <c r="C14" s="6" t="s">
        <v>22</v>
      </c>
      <c r="D14" s="6" t="s">
        <v>22</v>
      </c>
      <c r="E14" s="6" t="s">
        <v>22</v>
      </c>
    </row>
    <row r="15" ht="58" customHeight="1" spans="1:5">
      <c r="A15" s="4" t="s">
        <v>126</v>
      </c>
      <c r="B15" s="6" t="s">
        <v>22</v>
      </c>
      <c r="C15" s="6" t="s">
        <v>22</v>
      </c>
      <c r="D15" s="6" t="s">
        <v>22</v>
      </c>
      <c r="E15" s="6" t="s">
        <v>22</v>
      </c>
    </row>
    <row r="16" ht="58" customHeight="1" spans="1:5">
      <c r="A16" s="4" t="s">
        <v>127</v>
      </c>
      <c r="B16" s="6" t="s">
        <v>22</v>
      </c>
      <c r="C16" s="6" t="s">
        <v>22</v>
      </c>
      <c r="D16" s="6" t="s">
        <v>22</v>
      </c>
      <c r="E16" s="6" t="s">
        <v>22</v>
      </c>
    </row>
    <row r="18" ht="15" spans="1:5">
      <c r="A18" s="2" t="s">
        <v>128</v>
      </c>
      <c r="B18" s="2"/>
      <c r="C18" s="2"/>
      <c r="D18" s="2"/>
      <c r="E18" s="2"/>
    </row>
    <row r="19" ht="16.5" spans="1:5">
      <c r="A19" s="7" t="s">
        <v>51</v>
      </c>
      <c r="B19" s="8" t="s">
        <v>22</v>
      </c>
      <c r="C19" s="7" t="s">
        <v>129</v>
      </c>
      <c r="D19" s="8" t="str">
        <f>COUNTIF(精简调研记录!$E$8:$E$16,"?*")&amp;"/9"</f>
        <v>0/9</v>
      </c>
      <c r="E19" s="8" t="s">
        <v>22</v>
      </c>
    </row>
    <row r="20" ht="50" customHeight="1" spans="1:5">
      <c r="A20" s="7" t="s">
        <v>130</v>
      </c>
      <c r="B20" s="8" t="s">
        <v>22</v>
      </c>
      <c r="C20" s="8" t="s">
        <v>22</v>
      </c>
      <c r="D20" s="8" t="s">
        <v>22</v>
      </c>
      <c r="E20" s="8" t="s">
        <v>22</v>
      </c>
    </row>
    <row r="21" ht="50" customHeight="1" spans="1:5">
      <c r="A21" s="9" t="s">
        <v>22</v>
      </c>
      <c r="B21" s="8" t="s">
        <v>22</v>
      </c>
      <c r="C21" s="8" t="s">
        <v>22</v>
      </c>
      <c r="D21" s="8" t="s">
        <v>22</v>
      </c>
      <c r="E21" s="8" t="s">
        <v>22</v>
      </c>
    </row>
    <row r="22" ht="50" customHeight="1" spans="1:5">
      <c r="A22" s="7" t="s">
        <v>131</v>
      </c>
      <c r="B22" s="8" t="s">
        <v>22</v>
      </c>
      <c r="C22" s="8" t="s">
        <v>22</v>
      </c>
      <c r="D22" s="8" t="s">
        <v>22</v>
      </c>
      <c r="E22" s="8" t="s">
        <v>22</v>
      </c>
    </row>
    <row r="23" ht="50" customHeight="1" spans="1:5">
      <c r="A23" s="9" t="s">
        <v>22</v>
      </c>
      <c r="B23" s="8" t="s">
        <v>22</v>
      </c>
      <c r="C23" s="8" t="s">
        <v>22</v>
      </c>
      <c r="D23" s="8" t="s">
        <v>22</v>
      </c>
      <c r="E23" s="8" t="s">
        <v>22</v>
      </c>
    </row>
    <row r="24" ht="40" customHeight="1" spans="1:5">
      <c r="A24" s="7" t="s">
        <v>132</v>
      </c>
      <c r="B24" s="8" t="s">
        <v>22</v>
      </c>
      <c r="C24" s="8" t="s">
        <v>22</v>
      </c>
      <c r="D24" s="8" t="s">
        <v>22</v>
      </c>
      <c r="E24" s="8" t="s">
        <v>22</v>
      </c>
    </row>
    <row r="25" ht="40" customHeight="1" spans="1:5">
      <c r="A25" s="7" t="s">
        <v>133</v>
      </c>
      <c r="B25" s="8" t="s">
        <v>22</v>
      </c>
      <c r="C25" s="8" t="s">
        <v>22</v>
      </c>
      <c r="D25" s="8" t="s">
        <v>22</v>
      </c>
      <c r="E25" s="8" t="s">
        <v>22</v>
      </c>
    </row>
    <row r="26" ht="40" customHeight="1" spans="1:5">
      <c r="A26" s="7" t="s">
        <v>85</v>
      </c>
      <c r="B26" s="8" t="s">
        <v>22</v>
      </c>
      <c r="C26" s="8" t="s">
        <v>22</v>
      </c>
      <c r="D26" s="8" t="s">
        <v>22</v>
      </c>
      <c r="E26" s="8" t="s">
        <v>22</v>
      </c>
    </row>
    <row r="27" ht="40" customHeight="1" spans="1:5">
      <c r="A27" s="7" t="s">
        <v>134</v>
      </c>
      <c r="B27" s="8" t="s">
        <v>22</v>
      </c>
      <c r="C27" s="8" t="s">
        <v>22</v>
      </c>
      <c r="D27" s="8" t="s">
        <v>22</v>
      </c>
      <c r="E27" s="8" t="s">
        <v>22</v>
      </c>
    </row>
  </sheetData>
  <mergeCells count="11">
    <mergeCell ref="A1:E1"/>
    <mergeCell ref="A3:E3"/>
    <mergeCell ref="A11:E11"/>
    <mergeCell ref="A18:E18"/>
    <mergeCell ref="D19:E19"/>
    <mergeCell ref="B24:E24"/>
    <mergeCell ref="B25:E25"/>
    <mergeCell ref="B26:E26"/>
    <mergeCell ref="B27:E27"/>
    <mergeCell ref="B20:E21"/>
    <mergeCell ref="B22:E23"/>
  </mergeCells>
  <conditionalFormatting sqref="B19">
    <cfRule type="containsText" dxfId="4" priority="5" operator="between" text="通过">
      <formula>NOT(ISERROR(SEARCH("通过",B19)))</formula>
    </cfRule>
    <cfRule type="containsText" dxfId="5" priority="6" operator="between" text="不通过">
      <formula>NOT(ISERROR(SEARCH("不通过",B19)))</formula>
    </cfRule>
    <cfRule type="containsText" dxfId="3" priority="7" operator="between" text="材料不足">
      <formula>NOT(ISERROR(SEARCH("材料不足",B19)))</formula>
    </cfRule>
  </conditionalFormatting>
  <conditionalFormatting sqref="B13:B16">
    <cfRule type="containsText" dxfId="0" priority="1" operator="between" text="强成立">
      <formula>NOT(ISERROR(SEARCH("强成立",B13)))</formula>
    </cfRule>
    <cfRule type="containsText" dxfId="1" priority="2" operator="between" text="条件成立">
      <formula>NOT(ISERROR(SEARCH("条件成立",B13)))</formula>
    </cfRule>
    <cfRule type="containsText" dxfId="2" priority="3" operator="between" text="不成立">
      <formula>NOT(ISERROR(SEARCH("不成立",B13)))</formula>
    </cfRule>
    <cfRule type="containsText" dxfId="3" priority="4" operator="between" text="材料不足">
      <formula>NOT(ISERROR(SEARCH("材料不足",B13)))</formula>
    </cfRule>
  </conditionalFormatting>
  <dataValidations count="2">
    <dataValidation type="list" sqref="B19">
      <formula1>"通过,条件通过,不通过,材料不足"</formula1>
    </dataValidation>
    <dataValidation type="list" sqref="B13:B16">
      <formula1>"强成立,条件成立,弱成立,不成立,材料不足，暂不判断"</formula1>
    </dataValidation>
  </dataValidation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精简调研记录</vt:lpstr>
      <vt:lpstr>方案比选验证</vt:lpstr>
      <vt:lpstr>材料与结论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王丽</cp:lastModifiedBy>
  <dcterms:created xsi:type="dcterms:W3CDTF">2026-07-17T09:49:18Z</dcterms:created>
  <dcterms:modified xsi:type="dcterms:W3CDTF">2026-07-17T10:26:38Z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1998D62D51F8435FB2994D8C4821A6B0_12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