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04eebcbf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访谈记录" sheetId="1" r:id="Rdd7dd5eeede34f96"/>
    <x:sheet xmlns:r="http://schemas.openxmlformats.org/officeDocument/2006/relationships" name="结论汇总" sheetId="2" r:id="Ra625f21cd2e54b79"/>
    <x:sheet xmlns:r="http://schemas.openxmlformats.org/officeDocument/2006/relationships" name="使用说明" sheetId="3" r:id="R0b9d0227c22a4558"/>
  </x:sheets>
</x:workbook>
</file>

<file path=xl/sharedStrings.xml><?xml version="1.0" encoding="utf-8"?>
<x:sst xmlns:x="http://schemas.openxmlformats.org/spreadsheetml/2006/main">
  <x:si>
    <x:t xml:space="preserve">客户价值验证调研提纲记录表</x:t>
  </x:si>
  <x:si>
    <x:t xml:space="preserve">访谈日期</x:t>
  </x:si>
  <x:si>
    <x:t xml:space="preserve">受访角色</x:t>
  </x:si>
  <x:si>
    <x:t xml:space="preserve">访谈人员</x:t>
  </x:si>
  <x:si>
    <x:t xml:space="preserve">项目/范围（脱敏）</x:t>
  </x:si>
  <x:si>
    <x:t xml:space="preserve">是否参与原计划</x:t>
  </x:si>
  <x:si>
    <x:t xml:space="preserve">原计划版本/日期</x:t>
  </x:si>
  <x:si>
    <x:t xml:space="preserve">记录状态</x:t>
  </x:si>
  <x:si>
    <x:t xml:space="preserve">验证方式</x:t>
  </x:si>
  <x:si>
    <x:t xml:space="preserve">序号</x:t>
  </x:si>
  <x:si>
    <x:t xml:space="preserve">访谈环节</x:t>
  </x:si>
  <x:si>
    <x:t xml:space="preserve">核心问题（客户话术）</x:t>
  </x:si>
  <x:si>
    <x:t xml:space="preserve">追问提示</x:t>
  </x:si>
  <x:si>
    <x:t xml:space="preserve">客户原话/事实记录</x:t>
  </x:si>
  <x:si>
    <x:t xml:space="preserve">证据类型</x:t>
  </x:si>
  <x:si>
    <x:t xml:space="preserve">是否有具体例证</x:t>
  </x:si>
  <x:si>
    <x:t xml:space="preserve">价值影响</x:t>
  </x:si>
  <x:si>
    <x:t xml:space="preserve">当前判断</x:t>
  </x:si>
  <x:si>
    <x:t xml:space="preserve">待补证据/问题</x:t>
  </x:si>
  <x:si>
    <x:t xml:space="preserve">后续动作</x:t>
  </x:si>
  <x:si>
    <x:t xml:space="preserve">背景与流程</x:t>
  </x:si>
  <x:si>
    <x:t xml:space="preserve">您在这版计划的编制、审核或调整过程中主要负责哪一部分？</x:t>
  </x:si>
  <x:si>
    <x:t xml:space="preserve">确认真实参与角色与责任范围。</x:t>
  </x:si>
  <x:si>
    <x:t xml:space="preserve">这版计划当时是怎样形成的？主要参考了哪些材料，经过了哪些关键步骤？</x:t>
  </x:si>
  <x:si>
    <x:t xml:space="preserve">追问参与人员、输入材料和计划形成顺序，不补写未出现的流程。</x:t>
  </x:si>
  <x:si>
    <x:t xml:space="preserve">编制或审核过程中，哪个环节最需要反复判断或依赖经验？</x:t>
  </x:si>
  <x:si>
    <x:t xml:space="preserve">追问工期、顺序、资源、关键节点以及为什么困难。</x:t>
  </x:si>
  <x:si>
    <x:t xml:space="preserve">计划发生变化后，通常怎样检查影响范围？哪一部分最难调整？</x:t>
  </x:si>
  <x:si>
    <x:t xml:space="preserve">追问跨表核对、上下游影响和人工复核过程。</x:t>
  </x:si>
  <x:si>
    <x:t xml:space="preserve">结果复核</x:t>
  </x:si>
  <x:si>
    <x:t xml:space="preserve">从整体上看，系统结果中哪些与原判断一致？哪些地方明显不一致？</x:t>
  </x:si>
  <x:si>
    <x:t xml:space="preserve">先让客户自主判断，再定位到具体节点、资源或施工顺序。</x:t>
  </x:si>
  <x:si>
    <x:t xml:space="preserve">对于不一致的部分，您认为主要原因是什么？</x:t>
  </x:si>
  <x:si>
    <x:t xml:space="preserve">区分数据不完整、施工条件遗漏、规则设置、系统逻辑或人工计划假设。</x:t>
  </x:si>
  <x:si>
    <x:t xml:space="preserve">结果中有没有明显不合理、不能用于实际判断的内容？实际情况应该是什么？</x:t>
  </x:si>
  <x:si>
    <x:t xml:space="preserve">要求给出具体例子和正确业务口径。</x:t>
  </x:si>
  <x:si>
    <x:t xml:space="preserve">系统还遗漏了哪些现场条件、施工限制或专业经验？</x:t>
  </x:si>
  <x:si>
    <x:t xml:space="preserve">记录缺失条件及其对结果的影响，不现场替产品辩解。</x:t>
  </x:si>
  <x:si>
    <x:t xml:space="preserve">增量价值</x:t>
  </x:si>
  <x:si>
    <x:t xml:space="preserve">这次结果有没有呈现出原 Excel 中不容易直接看出的信息？请指出一个具体例子。</x:t>
  </x:si>
  <x:si>
    <x:t xml:space="preserve">若只回答“直观”，继续追问新发现了什么。</x:t>
  </x:si>
  <x:si>
    <x:t xml:space="preserve">如果在原计划编制或审核时看到这些信息，是否会促使您进一步检查或调整某项安排？</x:t>
  </x:si>
  <x:si>
    <x:t xml:space="preserve">追问会检查什么、可能影响哪项判断；若不会，追问原因。</x:t>
  </x:si>
  <x:si>
    <x:t xml:space="preserve">哪一部分结果对您最有帮助？为什么？</x:t>
  </x:si>
  <x:si>
    <x:t xml:space="preserve">可追问节点可达性、资源冲突、施工顺序、方案比较，但不要代替客户回答。</x:t>
  </x:si>
  <x:si>
    <x:t xml:space="preserve">哪些展示看起来完整，但对实际工作没有帮助？</x:t>
  </x:si>
  <x:si>
    <x:t xml:space="preserve">识别非机会点、冗余展示和客户不关心的内容。</x:t>
  </x:si>
  <x:si>
    <x:t xml:space="preserve">请用一句话描述：这个结果帮助我更早或更清楚地发现了____，从而可以____。</x:t>
  </x:si>
  <x:si>
    <x:t xml:space="preserve">尽量记录客户原话；无法完成时，不将泛泛认可作为价值证据。</x:t>
  </x:si>
  <x:si>
    <x:t xml:space="preserve">可信度</x:t>
  </x:si>
  <x:si>
    <x:t xml:space="preserve">如果将这份结果用于计划讨论或审核，您最需要系统解释清楚哪些内容？</x:t>
  </x:si>
  <x:si>
    <x:t xml:space="preserve">追问数据来源、工效、资源、工序关系、关键节点和假设。</x:t>
  </x:si>
  <x:si>
    <x:t xml:space="preserve">哪些输入数据、计算假设和排程规则必须能够查看或修改，您才会信任结果？</x:t>
  </x:si>
  <x:si>
    <x:t xml:space="preserve">区分通用模板与项目必须调整的参数。</x:t>
  </x:si>
  <x:si>
    <x:t xml:space="preserve">当系统结果和人工计划不一致时，您希望看到什么信息来判断哪一方更合理？</x:t>
  </x:si>
  <x:si>
    <x:t xml:space="preserve">追问差异定位、计算依据、调整前后变化和责任确认。</x:t>
  </x:si>
  <x:si>
    <x:t xml:space="preserve">未来落地</x:t>
  </x:si>
  <x:si>
    <x:t xml:space="preserve">如果结果准确可信，它最适合进入哪个计划工作环节？</x:t>
  </x:si>
  <x:si>
    <x:t xml:space="preserve">开放回答后，再提示初始计划复核、月计划、节点分析、方案比较或计划会议。</x:t>
  </x:si>
  <x:si>
    <x:t xml:space="preserve">形成这类结果时，哪些数据可以复用现有材料？哪些数据目前缺失或质量不稳定？</x:t>
  </x:si>
  <x:si>
    <x:t xml:space="preserve">关注数据来源、维护责任和重复录入风险，不推断数据频率。</x:t>
  </x:si>
  <x:si>
    <x:t xml:space="preserve">哪些规则可以形成通用模板？哪些必须根据不同项目调整？</x:t>
  </x:si>
  <x:si>
    <x:t xml:space="preserve">关注项目差异、配置负担和一次性人工建模成本。</x:t>
  </x:si>
  <x:si>
    <x:t xml:space="preserve">如果未来进入实际工作，谁适合准备数据、确认规则、复核结果和使用结论？</x:t>
  </x:si>
  <x:si>
    <x:t xml:space="preserve">按客户实际出现的角色记录，不预设决策链路。</x:t>
  </x:si>
  <x:si>
    <x:t xml:space="preserve">产品至少满足哪些条件，您才愿意把它作为计划分析或复核的参考工具？</x:t>
  </x:si>
  <x:si>
    <x:t xml:space="preserve">验证必要条件，不追问当前无法证明的正式使用或付费意愿。</x:t>
  </x:si>
  <x:si>
    <x:t xml:space="preserve">下一轮验证</x:t>
  </x:si>
  <x:si>
    <x:t xml:space="preserve">如果继续验证，下一个最值得选择的真实问题是什么？</x:t>
  </x:si>
  <x:si>
    <x:t xml:space="preserve">要求收敛到一个具体范围、一个真实问题和一次可复核结果。</x:t>
  </x:si>
  <x:si>
    <x:t xml:space="preserve">需要补充哪些数据、由哪些实际参与人员共同复核？如果当前价值不明显，最主要原因是什么？</x:t>
  </x:si>
  <x:si>
    <x:t xml:space="preserve">确认可执行的下一步；允许明确回答不值得继续。</x:t>
  </x:si>
  <x:si>
    <x:t xml:space="preserve">客户价值验证结论汇总</x:t>
  </x:si>
  <x:si>
    <x:t xml:space="preserve">一、核心产品假设判断</x:t>
  </x:si>
  <x:si>
    <x:t xml:space="preserve">产品假设</x:t>
  </x:si>
  <x:si>
    <x:t xml:space="preserve">验证结果</x:t>
  </x:si>
  <x:si>
    <x:t xml:space="preserve">证据摘要</x:t>
  </x:si>
  <x:si>
    <x:t xml:space="preserve">限制/反证</x:t>
  </x:si>
  <x:si>
    <x:t xml:space="preserve">下一步动作</x:t>
  </x:si>
  <x:si>
    <x:t xml:space="preserve">系统结果能提供原 Excel 不易直接发现的信息</x:t>
  </x:si>
  <x:si>
    <x:t xml:space="preserve">结果能支持一次具体的计划复核或决策</x:t>
  </x:si>
  <x:si>
    <x:t xml:space="preserve">结果差异可以通过数据、规则或假设解释</x:t>
  </x:si>
  <x:si>
    <x:t xml:space="preserve">数据准备与建模成本具备可控的产品化可能</x:t>
  </x:si>
  <x:si>
    <x:t xml:space="preserve">客户愿意投入下一轮真实数据和人员复核</x:t>
  </x:si>
  <x:si>
    <x:t xml:space="preserve">二、访谈记录信号统计（自动汇总）</x:t>
  </x:si>
  <x:si>
    <x:t xml:space="preserve">信号类型</x:t>
  </x:si>
  <x:si>
    <x:t xml:space="preserve">数量</x:t>
  </x:si>
  <x:si>
    <x:t xml:space="preserve">说明</x:t>
  </x:si>
  <x:si>
    <x:t xml:space="preserve">正向</x:t>
  </x:si>
  <x:si>
    <x:t xml:space="preserve">客户给出具体正向判断</x:t>
  </x:si>
  <x:si>
    <x:t xml:space="preserve">条件正向</x:t>
  </x:si>
  <x:si>
    <x:t xml:space="preserve">价值存在，但依赖数据、规则或流程条件</x:t>
  </x:si>
  <x:si>
    <x:t xml:space="preserve">中性</x:t>
  </x:si>
  <x:si>
    <x:t xml:space="preserve">未形成明确价值或反对意见</x:t>
  </x:si>
  <x:si>
    <x:t xml:space="preserve">负向</x:t>
  </x:si>
  <x:si>
    <x:t xml:space="preserve">客户明确认为无价值、不可信或难落地</x:t>
  </x:si>
  <x:si>
    <x:t xml:space="preserve">材料不足</x:t>
  </x:si>
  <x:si>
    <x:t xml:space="preserve">缺少例证、数据或有效复核人</x:t>
  </x:si>
  <x:si>
    <x:t xml:space="preserve">三、总体结论与下一轮验证</x:t>
  </x:si>
  <x:si>
    <x:t xml:space="preserve">总体结论</x:t>
  </x:si>
  <x:si>
    <x:t xml:space="preserve">客户价值原话</x:t>
  </x:si>
  <x:si>
    <x:t xml:space="preserve">结论依据</x:t>
  </x:si>
  <x:si>
    <x:t xml:space="preserve">主要限制/反证</x:t>
  </x:si>
  <x:si>
    <x:t xml:space="preserve">下一轮真实问题</x:t>
  </x:si>
  <x:si>
    <x:t xml:space="preserve">所需数据</x:t>
  </x:si>
  <x:si>
    <x:t xml:space="preserve">后续回流方向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</x:si>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</x:sst>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27">
    <x:font>
      <x:sz val="11"/>
      <x:name val="Carlito"/>
    </x:font>
    <x:font>
      <x:b/>
      <x:sz val="18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10" borderId="5" applyNumberFormat="0" applyAlignment="0" applyProtection="0">
      <x:alignment vertical="center"/>
    </x:xf>
    <x:xf numFmtId="0" fontId="19" fillId="11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5" fillId="38" borderId="0" applyNumberFormat="0" applyBorder="0" applyAlignment="0" applyProtection="0">
      <x:alignment vertical="center"/>
    </x:xf>
    <x:xf numFmtId="0" fontId="0" fillId="0" borderId="0"/>
  </x:cellStyleXfs>
  <x:cellXfs count="45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0" borderId="0" xfId="49" applyNumberFormat="1" applyFont="1" applyFill="1" applyBorder="1"/>
    <x:xf numFmtId="0" fontId="3" fillId="3" borderId="1" xfId="49" applyNumberFormat="1" applyFont="1" applyFill="1" applyBorder="1"/>
    <x:xf numFmtId="0" fontId="3" fillId="0" borderId="1" xfId="49" applyNumberFormat="1" applyFont="1" applyFill="1" applyBorder="1"/>
    <x:xf numFmtId="176" fontId="2" fillId="4" borderId="1" xfId="49" applyNumberFormat="1" applyFont="1" applyFill="1" applyBorder="1"/>
    <x:xf numFmtId="0" fontId="2" fillId="4" borderId="1" xfId="49" applyNumberFormat="1" applyFont="1" applyFill="1" applyBorder="1"/>
    <x:xf numFmtId="0" fontId="4" fillId="5" borderId="0" xfId="49" applyNumberFormat="1" applyFont="1" applyFill="1" applyBorder="1" applyAlignment="1">
      <x:alignment vertical="center"/>
    </x:xf>
    <x:xf numFmtId="0" fontId="3" fillId="3" borderId="1" xfId="49" applyNumberFormat="1" applyFont="1" applyFill="1" applyBorder="1" applyAlignment="1">
      <x:alignment horizontal="center" vertical="center" wrapText="1"/>
    </x:xf>
    <x:xf numFmtId="0" fontId="2" fillId="6" borderId="1" xfId="49" applyNumberFormat="1" applyFont="1" applyFill="1" applyBorder="1" applyAlignment="1">
      <x:alignment wrapText="1"/>
    </x:xf>
    <x:xf numFmtId="0" fontId="2" fillId="7" borderId="1" xfId="49" applyNumberFormat="1" applyFont="1" applyFill="1" applyBorder="1" applyAlignment="1">
      <x:alignment wrapText="1"/>
    </x:xf>
    <x:xf numFmtId="0" fontId="4" fillId="5" borderId="0" xfId="49" applyNumberFormat="1" applyFont="1" applyFill="1" applyBorder="1"/>
    <x:xf numFmtId="0" fontId="3" fillId="3" borderId="1" xfId="49" applyNumberFormat="1" applyFont="1" applyFill="1" applyBorder="1" applyAlignment="1">
      <x:alignment horizontal="center" wrapText="1"/>
    </x:xf>
    <x:xf numFmtId="0" fontId="2" fillId="4" borderId="1" xfId="49" applyNumberFormat="1" applyFont="1" applyFill="1" applyBorder="1" applyAlignment="1">
      <x:alignment wrapText="1"/>
    </x:xf>
    <x:xf numFmtId="1" fontId="2" fillId="4" borderId="1" xfId="49" applyNumberFormat="1" applyFont="1" applyFill="1" applyBorder="1" applyAlignment="1">
      <x:alignment wrapText="1"/>
    </x:xf>
    <x:xf numFmtId="0" fontId="2" fillId="3" borderId="1" xfId="49" applyNumberFormat="1" applyFont="1" applyFill="1" applyBorder="1" applyAlignment="1">
      <x:alignment vertical="top" wrapText="1"/>
    </x:xf>
    <x:xf numFmtId="0" fontId="2" fillId="7" borderId="1" xfId="49" applyNumberFormat="1" applyFont="1" applyFill="1" applyBorder="1" applyAlignment="1">
      <x:alignment vertical="top" wrapText="1"/>
    </x:xf>
    <x:xf numFmtId="0" fontId="2" fillId="0" borderId="1" xfId="49" applyNumberFormat="1" applyFont="1" applyFill="1" applyBorder="1" applyAlignment="1">
      <x:alignment vertical="top" wrapText="1"/>
    </x:xf>
    <x:xf numFmtId="0" fontId="3" fillId="3" borderId="1" xfId="49" applyNumberFormat="1" applyFont="1" applyFill="1" applyBorder="1" applyAlignment="1">
      <x:alignment vertical="top" wrapText="1"/>
    </x:xf>
    <x:xf numFmtId="0" fontId="3" fillId="7" borderId="1" xfId="49" applyNumberFormat="1" applyFont="1" applyFill="1" applyBorder="1" applyAlignment="1">
      <x:alignment vertical="top" wrapText="1"/>
    </x:xf>
    <x:xf numFmtId="0" fontId="5" fillId="3" borderId="1" xfId="49" applyNumberFormat="1" applyFont="1" applyFill="1" applyBorder="1" applyAlignment="1">
      <x:alignment vertical="center"/>
    </x:xf>
    <x:xf numFmtId="176" fontId="2" fillId="7" borderId="1" xfId="49" applyNumberFormat="1" applyFont="1" applyFill="1" applyBorder="1" applyAlignment="1">
      <x:alignment vertical="center"/>
    </x:xf>
    <x:xf numFmtId="0" fontId="2" fillId="7" borderId="1" xfId="49" applyNumberFormat="1" applyFont="1" applyFill="1" applyBorder="1" applyAlignment="1">
      <x:alignment vertical="center"/>
    </x:xf>
    <x:xf numFmtId="0" fontId="6" fillId="5" borderId="0" xfId="49" applyNumberFormat="1" applyFont="1" applyFill="1" applyBorder="1" applyAlignment="1">
      <x:alignment horizontal="center" vertical="center" wrapText="1"/>
    </x:xf>
    <x:xf numFmtId="0" fontId="2" fillId="6" borderId="0" xfId="49" applyNumberFormat="1" applyFont="1" applyFill="1" applyBorder="1" applyAlignment="1">
      <x:alignment horizontal="center" vertical="top" wrapText="1"/>
    </x:xf>
    <x:xf numFmtId="0" fontId="2" fillId="6" borderId="0" xfId="49" applyNumberFormat="1" applyFont="1" applyFill="1" applyBorder="1" applyAlignment="1">
      <x:alignment vertical="top" wrapText="1"/>
    </x:xf>
    <x:xf numFmtId="0" fontId="2" fillId="7" borderId="0" xfId="49" applyNumberFormat="1" applyFont="1" applyFill="1" applyBorder="1" applyAlignment="1">
      <x:alignment vertical="top" wrapText="1"/>
    </x:xf>
    <x:xf numFmtId="200" fontId="2" fillId="7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1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1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3">
    <x:dxf>
      <x:font>
        <x:b/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bdb61a07e46ef" /><Relationship Type="http://schemas.openxmlformats.org/officeDocument/2006/relationships/theme" Target="/xl/theme/theme1.xml" Id="R52d7c73f6ce24bcf" /><Relationship Type="http://schemas.openxmlformats.org/officeDocument/2006/relationships/sharedStrings" Target="/xl/sharedStrings.xml" Id="R51ec5bfa6c6b41ca" /><Relationship Type="http://schemas.openxmlformats.org/officeDocument/2006/relationships/worksheet" Target="/xl/worksheets/sheet1.xml" Id="Rdd7dd5eeede34f96" /><Relationship Type="http://schemas.openxmlformats.org/officeDocument/2006/relationships/worksheet" Target="/xl/worksheets/sheet2.xml" Id="Ra625f21cd2e54b79" /><Relationship Type="http://schemas.openxmlformats.org/officeDocument/2006/relationships/worksheet" Target="/xl/worksheets/sheet3.xml" Id="R0b9d0227c22a4558" /></Relationships>
</file>

<file path=xl/tables/table1.xml><?xml version="1.0" encoding="utf-8"?>
<x:table xmlns:x="http://schemas.openxmlformats.org/spreadsheetml/2006/main" id="1" name="CustomerValueInterviewTable" displayName="CustomerValueInterviewTable" ref="A5:K28" totalsRowShown="0">
  <x:autoFilter ref="A5:K28"/>
  <x:tableColumns count="11">
    <x:tableColumn id="1" name="序号"/>
    <x:tableColumn id="2" name="访谈环节"/>
    <x:tableColumn id="3" name="核心问题（客户话术）"/>
    <x:tableColumn id="4" name="追问提示"/>
    <x:tableColumn id="5" name="客户原话/事实记录"/>
    <x:tableColumn id="6" name="证据类型"/>
    <x:tableColumn id="7" name="是否有具体例证"/>
    <x:tableColumn id="8" name="价值影响"/>
    <x:tableColumn id="9" name="当前判断"/>
    <x:tableColumn id="10" name="待补证据/问题"/>
    <x:tableColumn id="11" name="后续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f5f7be9a57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7" customWidth="1"/>
    <x:col min="2" max="2" width="13" customWidth="1"/>
    <x:col min="3" max="3" width="42" customWidth="1"/>
    <x:col min="4" max="4" width="34" customWidth="1"/>
    <x:col min="5" max="5" width="40" customWidth="1"/>
    <x:col min="6" max="6" width="13" customWidth="1"/>
    <x:col min="7" max="7" width="14" customWidth="1"/>
    <x:col min="8" max="8" width="16" customWidth="1"/>
    <x:col min="9" max="9" width="14" customWidth="1"/>
    <x:col min="10" max="10" width="28" customWidth="1"/>
    <x:col min="11" max="11" width="25" customWidth="1"/>
  </x:cols>
  <x:sheetData>
    <x:row r="1" ht="3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20" t="s">
        <x:v>1</x:v>
      </x:c>
      <x:c r="B2" s="27" t="n">
        <x:v>46221</x:v>
      </x:c>
      <x:c r="C2" s="20" t="s">
        <x:v>2</x:v>
      </x:c>
      <x:c r="D2" s="22" t="str">
        <x:v>项目工程部长</x:v>
      </x:c>
      <x:c r="E2" s="20" t="s">
        <x:v>3</x:v>
      </x:c>
      <x:c r="F2" s="22" t="str">
        <x:v>产品调研人员（脱敏）</x:v>
      </x:c>
      <x:c r="G2" s="20" t="s">
        <x:v>4</x:v>
      </x:c>
      <x:c r="H2" s="22" t="str">
        <x:v>某高速公路 TJ-1 标总进度计划（脱敏）</x:v>
      </x:c>
      <x:c r="I2" s="22"/>
      <x:c r="J2" s="22"/>
      <x:c r="K2" s="22"/>
    </x:row>
    <x:row r="3" ht="26" customHeight="1">
      <x:c r="A3" s="20" t="s">
        <x:v>5</x:v>
      </x:c>
      <x:c r="B3" s="22" t="str">
        <x:v>是（参与6月版重排）</x:v>
      </x:c>
      <x:c r="C3" s="20" t="s">
        <x:v>6</x:v>
      </x:c>
      <x:c r="D3" s="22" t="str">
        <x:v>4月版与6月版总体进度计划（原表待补）</x:v>
      </x:c>
      <x:c r="E3" s="22"/>
      <x:c r="F3" s="22"/>
      <x:c r="G3" s="20" t="s">
        <x:v>7</x:v>
      </x:c>
      <x:c r="H3" s="22" t="str">
        <x:v>已按转写整理，待真实数据复核</x:v>
      </x:c>
      <x:c r="I3" s="20" t="s">
        <x:v>8</x:v>
      </x:c>
      <x:c r="J3" s="22" t="str">
        <x:v>访谈转写＋现场表格讨论；未真实使用系统</x:v>
      </x:c>
      <x:c r="K3" s="22"/>
    </x:row>
    <x:row r="5" ht="36" customHeight="1">
      <x:c r="A5" s="23" t="s">
        <x:v>9</x:v>
      </x:c>
      <x:c r="B5" s="23" t="s">
        <x:v>10</x:v>
      </x:c>
      <x:c r="C5" s="23" t="s">
        <x:v>11</x:v>
      </x:c>
      <x:c r="D5" s="23" t="s">
        <x:v>12</x:v>
      </x:c>
      <x:c r="E5" s="23" t="s">
        <x:v>13</x:v>
      </x:c>
      <x:c r="F5" s="23" t="s">
        <x:v>14</x:v>
      </x:c>
      <x:c r="G5" s="23" t="s">
        <x:v>15</x:v>
      </x:c>
      <x:c r="H5" s="23" t="s">
        <x:v>16</x:v>
      </x:c>
      <x:c r="I5" s="23" t="s">
        <x:v>17</x:v>
      </x:c>
      <x:c r="J5" s="23" t="s">
        <x:v>18</x:v>
      </x:c>
      <x:c r="K5" s="23" t="s">
        <x:v>19</x:v>
      </x:c>
    </x:row>
    <x:row r="6" ht="62" customHeight="1">
      <x:c r="A6" s="24">
        <x:v>1</x:v>
      </x:c>
      <x:c r="B6" s="24" t="s">
        <x:v>20</x:v>
      </x:c>
      <x:c r="C6" s="25" t="s">
        <x:v>21</x:v>
      </x:c>
      <x:c r="D6" s="25" t="s">
        <x:v>22</x:v>
      </x:c>
      <x:c r="E6" s="28" t="str">
        <x:v>受访者参与6月版总进度计划重排：按总包指标重算持续时间，识别控制节点，结合架梁主线调整开工顺序和工装，并负责解释方案。[E04/E08/E11]</x:v>
      </x:c>
      <x:c r="F6" s="28" t="str">
        <x:v>客户事实</x:v>
      </x:c>
      <x:c r="G6" s="28" t="str">
        <x:v>是</x:v>
      </x:c>
      <x:c r="H6" s="28" t="str">
        <x:v>正向</x:v>
      </x:c>
      <x:c r="I6" s="28" t="str">
        <x:v>通过</x:v>
      </x:c>
      <x:c r="J6" s="28" t="str">
        <x:v>正式审核、批准链及受访者权限边界未说明。</x:v>
      </x:c>
      <x:c r="K6" s="28" t="str">
        <x:v>补访实际审核和决策链。</x:v>
      </x:c>
    </x:row>
    <x:row r="7" ht="62" customHeight="1">
      <x:c r="A7" s="24">
        <x:v>2</x:v>
      </x:c>
      <x:c r="B7" s="24" t="s">
        <x:v>20</x:v>
      </x:c>
      <x:c r="C7" s="25" t="s">
        <x:v>23</x:v>
      </x:c>
      <x:c r="D7" s="25" t="s">
        <x:v>24</x:v>
      </x:c>
      <x:c r="E7" s="28" t="str">
        <x:v>编制前已有路基工程量和桥梁结构参数；按“量→进度指标→初配工装→出工期→校核→调工装/逻辑→输出”形成计划。[E01/E13/E16]</x:v>
      </x:c>
      <x:c r="F7" s="28" t="str">
        <x:v>客户事实</x:v>
      </x:c>
      <x:c r="G7" s="28" t="str">
        <x:v>是</x:v>
      </x:c>
      <x:c r="H7" s="28" t="str">
        <x:v>正向</x:v>
      </x:c>
      <x:c r="I7" s="28" t="str">
        <x:v>通过</x:v>
      </x:c>
      <x:c r="J7" s="28" t="str">
        <x:v>现场展示的工程量表、指标表和工装表未随转写提供。</x:v>
      </x:c>
      <x:c r="K7" s="28" t="str">
        <x:v>取得原表后复现一座控制桥和一座普通桥。</x:v>
      </x:c>
    </x:row>
    <x:row r="8" ht="62" customHeight="1">
      <x:c r="A8" s="24">
        <x:v>3</x:v>
      </x:c>
      <x:c r="B8" s="24" t="s">
        <x:v>20</x:v>
      </x:c>
      <x:c r="C8" s="25" t="s">
        <x:v>25</x:v>
      </x:c>
      <x:c r="D8" s="25" t="s">
        <x:v>26</x:v>
      </x:c>
      <x:c r="E8" s="28" t="str">
        <x:v>最依赖经验的是识别控制点、确定计划粒度，并综合架梁连续性、梁场、运输通道、特殊工艺和资源周转判断开工顺序。[E08/E10/E12]</x:v>
      </x:c>
      <x:c r="F8" s="28" t="str">
        <x:v>客户判断</x:v>
      </x:c>
      <x:c r="G8" s="28" t="str">
        <x:v>是</x:v>
      </x:c>
      <x:c r="H8" s="28" t="str">
        <x:v>正向</x:v>
      </x:c>
      <x:c r="I8" s="28" t="str">
        <x:v>通过</x:v>
      </x:c>
      <x:c r="J8" s="28" t="str">
        <x:v>尚无可执行的控制点判定清单。</x:v>
      </x:c>
      <x:c r="K8" s="28" t="str">
        <x:v>让客户逐项标注控制点及判定理由。</x:v>
      </x:c>
    </x:row>
    <x:row r="9" ht="62" customHeight="1">
      <x:c r="A9" s="24">
        <x:v>4</x:v>
      </x:c>
      <x:c r="B9" s="24" t="s">
        <x:v>20</x:v>
      </x:c>
      <x:c r="C9" s="25" t="s">
        <x:v>27</x:v>
      </x:c>
      <x:c r="D9" s="25" t="s">
        <x:v>28</x:v>
      </x:c>
      <x:c r="E9" s="28" t="str">
        <x:v>6月思路变化后整体重新推导，旧版顺序和工效很少复用；最难的是重新校核架梁主线、控制节点、运输通道和资源配置。[E07/E08]</x:v>
      </x:c>
      <x:c r="F9" s="28" t="str">
        <x:v>客户事实</x:v>
      </x:c>
      <x:c r="G9" s="28" t="str">
        <x:v>是</x:v>
      </x:c>
      <x:c r="H9" s="28" t="str">
        <x:v>正向</x:v>
      </x:c>
      <x:c r="I9" s="28" t="str">
        <x:v>通过</x:v>
      </x:c>
      <x:c r="J9" s="28" t="str">
        <x:v>缺少4月、6月原计划，无法独立复核变化范围。</x:v>
      </x:c>
      <x:c r="K9" s="28" t="str">
        <x:v>取得两版计划并形成字段与逻辑差异对照。</x:v>
      </x:c>
    </x:row>
    <x:row r="10" ht="62" customHeight="1">
      <x:c r="A10" s="24">
        <x:v>5</x:v>
      </x:c>
      <x:c r="B10" s="24" t="s">
        <x:v>29</x:v>
      </x:c>
      <x:c r="C10" s="25" t="s">
        <x:v>30</x:v>
      </x:c>
      <x:c r="D10" s="25" t="s">
        <x:v>31</x:v>
      </x:c>
      <x:c r="E10" s="28" t="str">
        <x:v>本次访谈未让客户操作系统，也未提供一份完整系统结果与人工计划逐项对照。</x:v>
      </x:c>
      <x:c r="F10" s="28" t="str">
        <x:v>材料边界</x:v>
      </x:c>
      <x:c r="G10" s="28" t="str">
        <x:v>否</x:v>
      </x:c>
      <x:c r="H10" s="28" t="str">
        <x:v>材料不足</x:v>
      </x:c>
      <x:c r="I10" s="28" t="str">
        <x:v>材料不足</x:v>
      </x:c>
      <x:c r="J10" s="28" t="str">
        <x:v>无法判断一致项和不一致项。</x:v>
      </x:c>
      <x:c r="K10" s="28" t="str">
        <x:v>用同一真实场景开展桌面推演后逐项复核。</x:v>
      </x:c>
    </x:row>
    <x:row r="11" ht="62" customHeight="1">
      <x:c r="A11" s="24">
        <x:v>6</x:v>
      </x:c>
      <x:c r="B11" s="24" t="s">
        <x:v>29</x:v>
      </x:c>
      <x:c r="C11" s="25" t="s">
        <x:v>32</x:v>
      </x:c>
      <x:c r="D11" s="25" t="s">
        <x:v>33</x:v>
      </x:c>
      <x:c r="E11" s="28" t="str">
        <x:v>未形成真实的“系统结果—人工计划”差异样本；客户只说明潜在差异可能来自未输入的现场条件、理论指标和工艺遗漏。[E14]</x:v>
      </x:c>
      <x:c r="F11" s="28" t="str">
        <x:v>材料边界</x:v>
      </x:c>
      <x:c r="G11" s="28" t="str">
        <x:v>否</x:v>
      </x:c>
      <x:c r="H11" s="28" t="str">
        <x:v>材料不足</x:v>
      </x:c>
      <x:c r="I11" s="28" t="str">
        <x:v>材料不足</x:v>
      </x:c>
      <x:c r="J11" s="28" t="str">
        <x:v>差异原因尚未由结果样本验证。</x:v>
      </x:c>
      <x:c r="K11" s="28" t="str">
        <x:v>记录每项差异的数据、规则、假设和现场原因。</x:v>
      </x:c>
    </x:row>
    <x:row r="12" ht="62" customHeight="1">
      <x:c r="A12" s="24">
        <x:v>7</x:v>
      </x:c>
      <x:c r="B12" s="24" t="s">
        <x:v>29</x:v>
      </x:c>
      <x:c r="C12" s="25" t="s">
        <x:v>34</x:v>
      </x:c>
      <x:c r="D12" s="25" t="s">
        <x:v>35</x:v>
      </x:c>
      <x:c r="E12" s="28" t="str">
        <x:v>没有可供客户判定的完整系统结果，无法确认具体不合理项及正确结果。</x:v>
      </x:c>
      <x:c r="F12" s="28" t="str">
        <x:v>材料边界</x:v>
      </x:c>
      <x:c r="G12" s="28" t="str">
        <x:v>否</x:v>
      </x:c>
      <x:c r="H12" s="28" t="str">
        <x:v>材料不足</x:v>
      </x:c>
      <x:c r="I12" s="28" t="str">
        <x:v>材料不足</x:v>
      </x:c>
      <x:c r="J12" s="28" t="str">
        <x:v>缺少结果截图、输入版本和客户修正记录。</x:v>
      </x:c>
      <x:c r="K12" s="28" t="str">
        <x:v>下一轮保留初版、客户修改和重算结果。</x:v>
      </x:c>
    </x:row>
    <x:row r="13" ht="62" customHeight="1">
      <x:c r="A13" s="24">
        <x:v>8</x:v>
      </x:c>
      <x:c r="B13" s="24" t="s">
        <x:v>29</x:v>
      </x:c>
      <x:c r="C13" s="25" t="s">
        <x:v>36</x:v>
      </x:c>
      <x:c r="D13" s="25" t="s">
        <x:v>37</x:v>
      </x:c>
      <x:c r="E13" s="28" t="str">
        <x:v>客户明确提醒：软件会遗漏未输入条件；人工挖孔桩、施工准备、防护、养护、张拉、高低盖梁、梁场和运输通道等都会影响结果。[E02/E03/E10/E12/E14]</x:v>
      </x:c>
      <x:c r="F13" s="28" t="str">
        <x:v>客户例证</x:v>
      </x:c>
      <x:c r="G13" s="28" t="str">
        <x:v>是</x:v>
      </x:c>
      <x:c r="H13" s="28" t="str">
        <x:v>条件正向</x:v>
      </x:c>
      <x:c r="I13" s="28" t="str">
        <x:v>通过</x:v>
      </x:c>
      <x:c r="J13" s="28" t="str">
        <x:v>尚未区分哪些是硬约束、项目参数或人工确认项。</x:v>
      </x:c>
      <x:c r="K13" s="28" t="str">
        <x:v>整理硬约束清单与人工确认清单。</x:v>
      </x:c>
    </x:row>
    <x:row r="14" ht="62" customHeight="1">
      <x:c r="A14" s="24">
        <x:v>9</x:v>
      </x:c>
      <x:c r="B14" s="24" t="s">
        <x:v>38</x:v>
      </x:c>
      <x:c r="C14" s="25" t="s">
        <x:v>39</x:v>
      </x:c>
      <x:c r="D14" s="25" t="s">
        <x:v>40</x:v>
      </x:c>
      <x:c r="E14" s="28" t="str">
        <x:v>本次没有向客户展示一项由系统新增、且原Excel不易发现的具体信息。</x:v>
      </x:c>
      <x:c r="F14" s="28" t="str">
        <x:v>材料边界</x:v>
      </x:c>
      <x:c r="G14" s="28" t="str">
        <x:v>否</x:v>
      </x:c>
      <x:c r="H14" s="28" t="str">
        <x:v>材料不足</x:v>
      </x:c>
      <x:c r="I14" s="28" t="str">
        <x:v>材料不足</x:v>
      </x:c>
      <x:c r="J14" s="28" t="str">
        <x:v>无法证明系统相对原Excel的增量信息价值。</x:v>
      </x:c>
      <x:c r="K14" s="28" t="str">
        <x:v>桌面推演时要求客户指出一个新增发现。</x:v>
      </x:c>
    </x:row>
    <x:row r="15" ht="62" customHeight="1">
      <x:c r="A15" s="24">
        <x:v>10</x:v>
      </x:c>
      <x:c r="B15" s="24" t="s">
        <x:v>38</x:v>
      </x:c>
      <x:c r="C15" s="25" t="s">
        <x:v>41</x:v>
      </x:c>
      <x:c r="D15" s="25" t="s">
        <x:v>42</x:v>
      </x:c>
      <x:c r="E15" s="28" t="str">
        <x:v>没有真实系统结果，客户未回答某项信息是否会促使其改变计划安排。</x:v>
      </x:c>
      <x:c r="F15" s="28" t="str">
        <x:v>材料边界</x:v>
      </x:c>
      <x:c r="G15" s="28" t="str">
        <x:v>否</x:v>
      </x:c>
      <x:c r="H15" s="28" t="str">
        <x:v>材料不足</x:v>
      </x:c>
      <x:c r="I15" s="28" t="str">
        <x:v>材料不足</x:v>
      </x:c>
      <x:c r="J15" s="28" t="str">
        <x:v>缺少“发现信息—采取动作—影响决策”的证据链。</x:v>
      </x:c>
      <x:c r="K15" s="28" t="str">
        <x:v>围绕一个梁场、架梁顺序或工装决策验证。</x:v>
      </x:c>
    </x:row>
    <x:row r="16" ht="62" customHeight="1">
      <x:c r="A16" s="24">
        <x:v>11</x:v>
      </x:c>
      <x:c r="B16" s="24" t="s">
        <x:v>38</x:v>
      </x:c>
      <x:c r="C16" s="25" t="s">
        <x:v>43</x:v>
      </x:c>
      <x:c r="D16" s="25" t="s">
        <x:v>44</x:v>
      </x:c>
      <x:c r="E16" s="28" t="str">
        <x:v>客户未基于完整系统结果对各项帮助程度排序。访谈只支持其关注控制节点、架梁连续性、运输通道和工装调整。</x:v>
      </x:c>
      <x:c r="F16" s="28" t="str">
        <x:v>材料边界</x:v>
      </x:c>
      <x:c r="G16" s="28" t="str">
        <x:v>否</x:v>
      </x:c>
      <x:c r="H16" s="28" t="str">
        <x:v>材料不足</x:v>
      </x:c>
      <x:c r="I16" s="28" t="str">
        <x:v>材料不足</x:v>
      </x:c>
      <x:c r="J16" s="28" t="str">
        <x:v>不能把关注方向写成已验证的系统价值。</x:v>
      </x:c>
      <x:c r="K16" s="28" t="str">
        <x:v>提供一版结果后让客户按实际帮助排序。</x:v>
      </x:c>
    </x:row>
    <x:row r="17" ht="62" customHeight="1">
      <x:c r="A17" s="24">
        <x:v>12</x:v>
      </x:c>
      <x:c r="B17" s="24" t="s">
        <x:v>38</x:v>
      </x:c>
      <x:c r="C17" s="25" t="s">
        <x:v>45</x:v>
      </x:c>
      <x:c r="D17" s="25" t="s">
        <x:v>46</x:v>
      </x:c>
      <x:c r="E17" s="28" t="str">
        <x:v>客户明确认为按单根桩固定顺序排程“没必要”，现场不会严格按该顺序施工；非控制点过细会增加工作量且缺少管理意义。[E06]</x:v>
      </x:c>
      <x:c r="F17" s="28" t="str">
        <x:v>客户判断</x:v>
      </x:c>
      <x:c r="G17" s="28" t="str">
        <x:v>是</x:v>
      </x:c>
      <x:c r="H17" s="28" t="str">
        <x:v>负向</x:v>
      </x:c>
      <x:c r="I17" s="28" t="str">
        <x:v>不通过</x:v>
      </x:c>
      <x:c r="J17" s="28" t="str">
        <x:v>控制点局部需要细到什么程度仍待确定。</x:v>
      </x:c>
      <x:c r="K17" s="28" t="str">
        <x:v>停止验证全局越细越好，改验分层粒度。</x:v>
      </x:c>
    </x:row>
    <x:row r="18" ht="62" customHeight="1">
      <x:c r="A18" s="24">
        <x:v>13</x:v>
      </x:c>
      <x:c r="B18" s="24" t="s">
        <x:v>38</x:v>
      </x:c>
      <x:c r="C18" s="25" t="s">
        <x:v>47</x:v>
      </x:c>
      <x:c r="D18" s="25" t="s">
        <x:v>48</x:v>
      </x:c>
      <x:c r="E18" s="28" t="str">
        <x:v>客户未形成“结果帮助我发现了什么、从而采取什么行动”的完整价值原话。</x:v>
      </x:c>
      <x:c r="F18" s="28" t="str">
        <x:v>材料边界</x:v>
      </x:c>
      <x:c r="G18" s="28" t="str">
        <x:v>否</x:v>
      </x:c>
      <x:c r="H18" s="28" t="str">
        <x:v>材料不足</x:v>
      </x:c>
      <x:c r="I18" s="28" t="str">
        <x:v>材料不足</x:v>
      </x:c>
      <x:c r="J18" s="28" t="str">
        <x:v>缺少具体发现、动作和结果。</x:v>
      </x:c>
      <x:c r="K18" s="28" t="str">
        <x:v>下一轮必须记录完整价值闭环原话。</x:v>
      </x:c>
    </x:row>
    <x:row r="19" ht="62" customHeight="1">
      <x:c r="A19" s="24">
        <x:v>14</x:v>
      </x:c>
      <x:c r="B19" s="24" t="s">
        <x:v>49</x:v>
      </x:c>
      <x:c r="C19" s="25" t="s">
        <x:v>50</x:v>
      </x:c>
      <x:c r="D19" s="25" t="s">
        <x:v>51</x:v>
      </x:c>
      <x:c r="E19" s="28" t="str">
        <x:v>客户判断方案时首先看逻辑，重点校核架梁方向与连续性、关键节点、现场条件、工效和特殊工艺是否被遗漏。[E12/E14]</x:v>
      </x:c>
      <x:c r="F19" s="28" t="str">
        <x:v>客户判断</x:v>
      </x:c>
      <x:c r="G19" s="28" t="str">
        <x:v>是</x:v>
      </x:c>
      <x:c r="H19" s="28" t="str">
        <x:v>正向</x:v>
      </x:c>
      <x:c r="I19" s="28" t="str">
        <x:v>通过</x:v>
      </x:c>
      <x:c r="J19" s="28" t="str">
        <x:v>尚无逐项评审标准和允许偏差。</x:v>
      </x:c>
      <x:c r="K19" s="28" t="str">
        <x:v>形成客户可执行的方案评审清单。</x:v>
      </x:c>
    </x:row>
    <x:row r="20" ht="62" customHeight="1">
      <x:c r="A20" s="24">
        <x:v>15</x:v>
      </x:c>
      <x:c r="B20" s="24" t="s">
        <x:v>49</x:v>
      </x:c>
      <x:c r="C20" s="25" t="s">
        <x:v>52</x:v>
      </x:c>
      <x:c r="D20" s="25" t="s">
        <x:v>53</x:v>
      </x:c>
      <x:c r="E20" s="28" t="str">
        <x:v>必须可查看或修改：工程量、结构参数、进度指标、工装数量与规格、开工顺序、控制节点、梁场与通道，以及准备/养护/特殊工艺。[E01/E10/E12/E13]</x:v>
      </x:c>
      <x:c r="F20" s="28" t="str">
        <x:v>客户判断</x:v>
      </x:c>
      <x:c r="G20" s="28" t="str">
        <x:v>是</x:v>
      </x:c>
      <x:c r="H20" s="28" t="str">
        <x:v>正向</x:v>
      </x:c>
      <x:c r="I20" s="28" t="str">
        <x:v>通过</x:v>
      </x:c>
      <x:c r="J20" s="28" t="str">
        <x:v>通用参数与项目修正参数尚未分类。</x:v>
      </x:c>
      <x:c r="K20" s="28" t="str">
        <x:v>建立参数来源、适用范围和项目覆盖机制。</x:v>
      </x:c>
    </x:row>
    <x:row r="21" ht="62" customHeight="1">
      <x:c r="A21" s="24">
        <x:v>16</x:v>
      </x:c>
      <x:c r="B21" s="24" t="s">
        <x:v>49</x:v>
      </x:c>
      <x:c r="C21" s="25" t="s">
        <x:v>54</x:v>
      </x:c>
      <x:c r="D21" s="25" t="s">
        <x:v>55</x:v>
      </x:c>
      <x:c r="E21" s="28" t="str">
        <x:v>未发生真实结果冲突。客户给出的判断方式是先检查逻辑和现场条件，再核对指标与工装；不满足则调整并重算。[E14/E16]</x:v>
      </x:c>
      <x:c r="F21" s="28" t="str">
        <x:v>客户判断</x:v>
      </x:c>
      <x:c r="G21" s="28" t="str">
        <x:v>是</x:v>
      </x:c>
      <x:c r="H21" s="28" t="str">
        <x:v>条件正向</x:v>
      </x:c>
      <x:c r="I21" s="28" t="str">
        <x:v>材料不足</x:v>
      </x:c>
      <x:c r="J21" s="28" t="str">
        <x:v>缺少一组实际差异的前后版本。</x:v>
      </x:c>
      <x:c r="K21" s="28" t="str">
        <x:v>桌面推演保留差异定位、修改理由和重算变化。</x:v>
      </x:c>
    </x:row>
    <x:row r="22" ht="62" customHeight="1">
      <x:c r="A22" s="24">
        <x:v>17</x:v>
      </x:c>
      <x:c r="B22" s="24" t="s">
        <x:v>56</x:v>
      </x:c>
      <x:c r="C22" s="25" t="s">
        <x:v>57</x:v>
      </x:c>
      <x:c r="D22" s="25" t="s">
        <x:v>58</x:v>
      </x:c>
      <x:c r="E22" s="28" t="str">
        <x:v>客户认可先用于施工前总进度策划：从量、指标和工装形成第一版并校核；施工过程中再锁定实际完成，滚动调整剩余计划和月计划。[E13/E15/E16]</x:v>
      </x:c>
      <x:c r="F22" s="28" t="str">
        <x:v>客户判断</x:v>
      </x:c>
      <x:c r="G22" s="28" t="str">
        <x:v>是</x:v>
      </x:c>
      <x:c r="H22" s="28" t="str">
        <x:v>正向</x:v>
      </x:c>
      <x:c r="I22" s="28" t="str">
        <x:v>通过</x:v>
      </x:c>
      <x:c r="J22" s="28" t="str">
        <x:v>尚未验证系统进入现有会议或审批流程的方式。</x:v>
      </x:c>
      <x:c r="K22" s="28" t="str">
        <x:v>先验证施工前策划闭环，再验证月计划滚动。</x:v>
      </x:c>
    </x:row>
    <x:row r="23" ht="62" customHeight="1">
      <x:c r="A23" s="24">
        <x:v>18</x:v>
      </x:c>
      <x:c r="B23" s="24" t="s">
        <x:v>56</x:v>
      </x:c>
      <x:c r="C23" s="25" t="s">
        <x:v>59</x:v>
      </x:c>
      <x:c r="D23" s="25" t="s">
        <x:v>60</x:v>
      </x:c>
      <x:c r="E23" s="28" t="str">
        <x:v>可复用现有工程量统计、桥梁结构参数、业主/总包指标及工装配置；现场例外、控制点、特殊工艺和数据版本仍需人工确认。[E01/E11/E12/E13]</x:v>
      </x:c>
      <x:c r="F23" s="28" t="str">
        <x:v>客户事实</x:v>
      </x:c>
      <x:c r="G23" s="28" t="str">
        <x:v>是</x:v>
      </x:c>
      <x:c r="H23" s="28" t="str">
        <x:v>条件正向</x:v>
      </x:c>
      <x:c r="I23" s="28" t="str">
        <x:v>通过</x:v>
      </x:c>
      <x:c r="J23" s="28" t="str">
        <x:v>数据清洗、映射、维护责任和更新频率未验证。</x:v>
      </x:c>
      <x:c r="K23" s="28" t="str">
        <x:v>取得原始材料并记录一次建模耗时与缺失项。</x:v>
      </x:c>
    </x:row>
    <x:row r="24" ht="62" customHeight="1">
      <x:c r="A24" s="24">
        <x:v>19</x:v>
      </x:c>
      <x:c r="B24" s="24" t="s">
        <x:v>56</x:v>
      </x:c>
      <x:c r="C24" s="25" t="s">
        <x:v>61</x:v>
      </x:c>
      <x:c r="D24" s="25" t="s">
        <x:v>62</x:v>
      </x:c>
      <x:c r="E24" s="28" t="str">
        <x:v>可模板化的是“量—指标—工装—工期—校核”循环和常规工序；控制点、粒度、梁场、运输、特殊工艺、工装型号及经验指标需按项目调整。[E10/E12/E13/E16]</x:v>
      </x:c>
      <x:c r="F24" s="28" t="str">
        <x:v>产品判断</x:v>
      </x:c>
      <x:c r="G24" s="28" t="str">
        <x:v>是</x:v>
      </x:c>
      <x:c r="H24" s="28" t="str">
        <x:v>条件正向</x:v>
      </x:c>
      <x:c r="I24" s="28" t="str">
        <x:v>材料不足</x:v>
      </x:c>
      <x:c r="J24" s="28" t="str">
        <x:v>模板与项目配置的边界尚未经客户逐项确认。</x:v>
      </x:c>
      <x:c r="K24" s="28" t="str">
        <x:v>用两类桥逐项确认可复用项和项目项。</x:v>
      </x:c>
    </x:row>
    <x:row r="25" ht="62" customHeight="1">
      <x:c r="A25" s="24">
        <x:v>20</x:v>
      </x:c>
      <x:c r="B25" s="24" t="s">
        <x:v>56</x:v>
      </x:c>
      <x:c r="C25" s="25" t="s">
        <x:v>63</x:v>
      </x:c>
      <x:c r="D25" s="25" t="s">
        <x:v>64</x:v>
      </x:c>
      <x:c r="E25" s="28" t="str">
        <x:v>当前由项目工程部长/工程部门编制、调整并解释总进度计划；施工队伍按月度数量目标执行并自行追回欠量。系统场景中的数据准备、规则确认和最终审批人未明确。[E15]</x:v>
      </x:c>
      <x:c r="F25" s="28" t="str">
        <x:v>客户事实</x:v>
      </x:c>
      <x:c r="G25" s="28" t="str">
        <x:v>是</x:v>
      </x:c>
      <x:c r="H25" s="28" t="str">
        <x:v>条件正向</x:v>
      </x:c>
      <x:c r="I25" s="28" t="str">
        <x:v>材料不足</x:v>
      </x:c>
      <x:c r="J25" s="28" t="str">
        <x:v>缺少完整参与角色、责任与决策链。</x:v>
      </x:c>
      <x:c r="K25" s="28" t="str">
        <x:v>补访实际编制、审核和执行参与人。</x:v>
      </x:c>
    </x:row>
    <x:row r="26" ht="62" customHeight="1">
      <x:c r="A26" s="24">
        <x:v>21</x:v>
      </x:c>
      <x:c r="B26" s="24" t="s">
        <x:v>56</x:v>
      </x:c>
      <x:c r="C26" s="25" t="s">
        <x:v>65</x:v>
      </x:c>
      <x:c r="D26" s="25" t="s">
        <x:v>66</x:v>
      </x:c>
      <x:c r="E26" s="28" t="str">
        <x:v>客户未直接承诺将产品作为正式参考工具；其反复强调结果必须符合现场逻辑、参数可解释且允许人工修正。</x:v>
      </x:c>
      <x:c r="F26" s="28" t="str">
        <x:v>材料边界</x:v>
      </x:c>
      <x:c r="G26" s="28" t="str">
        <x:v>否</x:v>
      </x:c>
      <x:c r="H26" s="28" t="str">
        <x:v>材料不足</x:v>
      </x:c>
      <x:c r="I26" s="28" t="str">
        <x:v>材料不足</x:v>
      </x:c>
      <x:c r="J26" s="28" t="str">
        <x:v>缺少真实结果、使用条件排序和正式采纳意愿。</x:v>
      </x:c>
      <x:c r="K26" s="28" t="str">
        <x:v>先让客户校核真实方案，再询问进入工作流程的最低条件。</x:v>
      </x:c>
    </x:row>
    <x:row r="27" ht="62" customHeight="1">
      <x:c r="A27" s="24">
        <x:v>22</x:v>
      </x:c>
      <x:c r="B27" s="24" t="s">
        <x:v>67</x:v>
      </x:c>
      <x:c r="C27" s="25" t="s">
        <x:v>68</x:v>
      </x:c>
      <x:c r="D27" s="25" t="s">
        <x:v>69</x:v>
      </x:c>
      <x:c r="E27" s="28" t="str">
        <x:v>客户未直接选择下一轮最值得验证的单一真实问题。材料支持优先验证控制点分层排程及“发现问题—调工装/逻辑—重算”闭环。</x:v>
      </x:c>
      <x:c r="F27" s="28" t="str">
        <x:v>材料边界</x:v>
      </x:c>
      <x:c r="G27" s="28" t="str">
        <x:v>否</x:v>
      </x:c>
      <x:c r="H27" s="28" t="str">
        <x:v>材料不足</x:v>
      </x:c>
      <x:c r="I27" s="28" t="str">
        <x:v>材料不足</x:v>
      </x:c>
      <x:c r="J27" s="28" t="str">
        <x:v>下一轮范围尚未由客户确认。</x:v>
      </x:c>
      <x:c r="K27" s="28" t="str">
        <x:v>提议一座控制桥和一座普通桥，请客户确认。</x:v>
      </x:c>
    </x:row>
    <x:row r="28" ht="62" customHeight="1">
      <x:c r="A28" s="24">
        <x:v>23</x:v>
      </x:c>
      <x:c r="B28" s="24" t="s">
        <x:v>67</x:v>
      </x:c>
      <x:c r="C28" s="25" t="s">
        <x:v>70</x:v>
      </x:c>
      <x:c r="D28" s="25" t="s">
        <x:v>71</x:v>
      </x:c>
      <x:c r="E28" s="28" t="str">
        <x:v>客户同意后续提供进度指标、工装配比等现有材料，但未确认共同复核人员和时间；4月/6月计划、实际完成数据也未补齐。[E11/E16]</x:v>
      </x:c>
      <x:c r="F28" s="28" t="str">
        <x:v>客户事实</x:v>
      </x:c>
      <x:c r="G28" s="28" t="str">
        <x:v>是</x:v>
      </x:c>
      <x:c r="H28" s="28" t="str">
        <x:v>条件正向</x:v>
      </x:c>
      <x:c r="I28" s="28" t="str">
        <x:v>材料不足</x:v>
      </x:c>
      <x:c r="J28" s="28" t="str">
        <x:v>缺少文件、复核角色和具体安排。</x:v>
      </x:c>
      <x:c r="K28" s="28" t="str">
        <x:v>取得材料后确认一次桌面推演的对象、人员和时间。</x:v>
      </x:c>
    </x:row>
  </x:sheetData>
  <x:mergeCells>
    <x:mergeCell ref="A1:K1"/>
    <x:mergeCell ref="H2:K2"/>
    <x:mergeCell ref="D3:F3"/>
    <x:mergeCell ref="J3:K3"/>
  </x:mergeCells>
  <x:conditionalFormatting sqref="H6:H28">
    <x:cfRule type="containsText" dxfId="0" priority="1" operator="between" text="改变决策">
      <x:formula>NOT(ISERROR(SEARCH("改变决策",H6)))</x:formula>
    </x:cfRule>
    <x:cfRule type="containsText" dxfId="1" priority="2" operator="between" text="促使复核">
      <x:formula>NOT(ISERROR(SEARCH("促使复核",H6)))</x:formula>
    </x:cfRule>
    <x:cfRule type="containsText" dxfId="2" priority="3" operator="between" text="无明显影响">
      <x:formula>NOT(ISERROR(SEARCH("无明显影响",H6)))</x:formula>
    </x:cfRule>
  </x:conditionalFormatting>
  <x:conditionalFormatting sqref="I6:I28">
    <x:cfRule type="containsText" dxfId="1" priority="4" operator="between" text="正向">
      <x:formula>NOT(ISERROR(SEARCH("正向",I6)))</x:formula>
    </x:cfRule>
    <x:cfRule type="containsText" dxfId="2" priority="5" operator="between" text="负向">
      <x:formula>NOT(ISERROR(SEARCH("负向",I6)))</x:formula>
    </x:cfRule>
    <x:cfRule type="containsText" dxfId="3" priority="6" operator="between" text="材料不足">
      <x:formula>NOT(ISERROR(SEARCH("材料不足",I6)))</x:formula>
    </x:cfRule>
  </x:conditionalFormatting>
  <x:dataValidations count="7">
    <x:dataValidation type="list" sqref="B3">
      <x:formula1>"是,部分参与,否,待确认"</x:formula1>
    </x:dataValidation>
    <x:dataValidation type="list" sqref="H3">
      <x:formula1>"未开始,进行中,已完成"</x:formula1>
    </x:dataValidation>
    <x:dataValidation type="list" sqref="J3">
      <x:formula1>"真实数据对照讲解,结果复核会,补充访谈"</x:formula1>
    </x:dataValidation>
    <x:dataValidation type="list" sqref="F6:F28">
      <x:formula1>"客户事实,客户判断,客户例证,产品判断,材料边界"</x:formula1>
    </x:dataValidation>
    <x:dataValidation type="list" sqref="G6:G28">
      <x:formula1>"是,否"</x:formula1>
    </x:dataValidation>
    <x:dataValidation type="list" sqref="H6:H28">
      <x:formula1>"正向,条件正向,中性,负向,材料不足"</x:formula1>
    </x:dataValidation>
    <x:dataValidation type="list" sqref="I6:I28">
      <x:formula1>"通过,不通过,材料不足"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f5f7be9a574c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35" customWidth="1"/>
    <x:col min="2" max="2" width="20" customWidth="1"/>
    <x:col min="3" max="4" width="30" customWidth="1"/>
    <x:col min="5" max="5" width="28" customWidth="1"/>
  </x:cols>
  <x:sheetData>
    <x:row r="1" ht="34" customHeight="1">
      <x:c r="A1" s="1" t="s">
        <x:v>72</x:v>
      </x:c>
      <x:c r="B1" s="1"/>
      <x:c r="C1" s="1"/>
      <x:c r="D1" s="1"/>
      <x:c r="E1" s="1"/>
    </x:row>
    <x:row r="2" ht="16.5">
      <x:c r="A2" s="2"/>
      <x:c r="B2" s="2"/>
      <x:c r="C2" s="2"/>
      <x:c r="D2" s="2"/>
      <x:c r="E2" s="2"/>
    </x:row>
    <x:row r="3" ht="16.5">
      <x:c r="A3" s="3" t="s">
        <x:v>1</x:v>
      </x:c>
      <x:c r="B3" s="4"/>
      <x:c r="C3" s="3" t="s">
        <x:v>2</x:v>
      </x:c>
      <x:c r="D3" s="4"/>
      <x:c r="E3" s="3" t="s">
        <x:v>7</x:v>
      </x:c>
    </x:row>
    <x:row r="4" ht="16.5">
      <x:c r="A4" s="29" t="n">
        <x:f>'访谈记录'!B2</x:f>
        <x:v>46221</x:v>
      </x:c>
      <x:c r="B4" s="6"/>
      <x:c r="C4" s="6" t="str">
        <x:f>'访谈记录'!D2</x:f>
        <x:v>项目工程部长</x:v>
      </x:c>
      <x:c r="D4" s="6"/>
      <x:c r="E4" s="6" t="str">
        <x:f>'访谈记录'!H3</x:f>
        <x:v>已按转写整理，待真实数据复核</x:v>
      </x:c>
    </x:row>
    <x:row r="5" ht="16.5">
      <x:c r="A5" s="2"/>
      <x:c r="B5" s="2"/>
      <x:c r="C5" s="2"/>
      <x:c r="D5" s="2"/>
      <x:c r="E5" s="2"/>
    </x:row>
    <x:row r="6" ht="15">
      <x:c r="A6" s="7" t="s">
        <x:v>73</x:v>
      </x:c>
      <x:c r="B6" s="7"/>
      <x:c r="C6" s="7"/>
      <x:c r="D6" s="7"/>
      <x:c r="E6" s="7"/>
    </x:row>
    <x:row r="7" ht="16.5">
      <x:c r="A7" s="8" t="s">
        <x:v>74</x:v>
      </x:c>
      <x:c r="B7" s="8" t="s">
        <x:v>75</x:v>
      </x:c>
      <x:c r="C7" s="8" t="s">
        <x:v>76</x:v>
      </x:c>
      <x:c r="D7" s="8" t="s">
        <x:v>77</x:v>
      </x:c>
      <x:c r="E7" s="8" t="s">
        <x:v>78</x:v>
      </x:c>
    </x:row>
    <x:row r="8" ht="48" customHeight="1">
      <x:c r="A8" s="9" t="s">
        <x:v>79</x:v>
      </x:c>
      <x:c r="B8" s="36" t="str">
        <x:v>材料不足</x:v>
      </x:c>
      <x:c r="C8" s="36" t="str">
        <x:v>客户未看到完整系统结果，无法指出相对原Excel的新发现。</x:v>
      </x:c>
      <x:c r="D8" s="36" t="str">
        <x:v>只有需求方向证据，没有实际结果对照。</x:v>
      </x:c>
      <x:c r="E8" s="36" t="str">
        <x:v>真实数据推演后要求客户指出一个新增发现。</x:v>
      </x:c>
    </x:row>
    <x:row r="9" ht="48" customHeight="1">
      <x:c r="A9" s="9" t="s">
        <x:v>80</x:v>
      </x:c>
      <x:c r="B9" s="36" t="str">
        <x:v>材料不足</x:v>
      </x:c>
      <x:c r="C9" s="36" t="str">
        <x:v>客户认可“先出一版—校核—调整—重算”的工作方式。</x:v>
      </x:c>
      <x:c r="D9" s="36" t="str">
        <x:v>尚无一次系统结果影响真实计划判断的证据。</x:v>
      </x:c>
      <x:c r="E9" s="36" t="str">
        <x:v>围绕一个梁场、架梁顺序或工装决策验证。</x:v>
      </x:c>
    </x:row>
    <x:row r="10" ht="48" customHeight="1">
      <x:c r="A10" s="9" t="s">
        <x:v>81</x:v>
      </x:c>
      <x:c r="B10" s="36" t="str">
        <x:v>材料不足</x:v>
      </x:c>
      <x:c r="C10" s="36" t="str">
        <x:v>客户要求结果能解释逻辑、指标、工装和现场约束。</x:v>
      </x:c>
      <x:c r="D10" s="36" t="str">
        <x:v>没有真实差异样本及修改前后结果。</x:v>
      </x:c>
      <x:c r="E10" s="36" t="str">
        <x:v>保留差异原因、客户修改和重算变化。</x:v>
      </x:c>
    </x:row>
    <x:row r="11" ht="48" customHeight="1">
      <x:c r="A11" s="9" t="s">
        <x:v>82</x:v>
      </x:c>
      <x:c r="B11" s="36" t="str">
        <x:v>材料不足</x:v>
      </x:c>
      <x:c r="C11" s="36" t="str">
        <x:v>既有工程量、结构参数、指标和工装资料可作为输入。</x:v>
      </x:c>
      <x:c r="D11" s="36" t="str">
        <x:v>清洗、映射、补录和维护成本均未测量。</x:v>
      </x:c>
      <x:c r="E11" s="36" t="str">
        <x:v>记录两类桥的一次建模耗时和缺失项。</x:v>
      </x:c>
    </x:row>
    <x:row r="12" ht="48" customHeight="1">
      <x:c r="A12" s="9" t="s">
        <x:v>83</x:v>
      </x:c>
      <x:c r="B12" s="36" t="str">
        <x:v>材料不足</x:v>
      </x:c>
      <x:c r="C12" s="36" t="str">
        <x:v>客户同意后续提供指标、工装配比等材料。</x:v>
      </x:c>
      <x:c r="D12" s="36" t="str">
        <x:v>未确认复核角色、时间及正式投入。</x:v>
      </x:c>
      <x:c r="E12" s="36" t="str">
        <x:v>补齐资料后确认桌面推演人员和时间。</x:v>
      </x:c>
    </x:row>
    <x:row r="13" ht="16.5">
      <x:c r="A13" s="2"/>
      <x:c r="B13" s="40"/>
      <x:c r="C13" s="40"/>
      <x:c r="D13" s="40"/>
      <x:c r="E13" s="40"/>
    </x:row>
    <x:row r="14" ht="15">
      <x:c r="A14" s="11" t="s">
        <x:v>84</x:v>
      </x:c>
      <x:c r="B14" s="41"/>
      <x:c r="C14" s="41"/>
      <x:c r="D14" s="41"/>
      <x:c r="E14" s="41"/>
    </x:row>
    <x:row r="15" ht="16.5">
      <x:c r="A15" s="12" t="s">
        <x:v>85</x:v>
      </x:c>
      <x:c r="B15" s="42" t="s">
        <x:v>86</x:v>
      </x:c>
      <x:c r="C15" s="42" t="s">
        <x:v>87</x:v>
      </x:c>
      <x:c r="D15" s="40"/>
      <x:c r="E15" s="40"/>
    </x:row>
    <x:row r="16" ht="16.5">
      <x:c r="A16" s="13" t="s">
        <x:v>88</x:v>
      </x:c>
      <x:c r="B16" s="43" t="n">
        <x:f>COUNTIF('访谈记录'!H6:H28,"正向")</x:f>
        <x:v>7</x:v>
      </x:c>
      <x:c r="C16" s="44" t="s">
        <x:v>89</x:v>
      </x:c>
      <x:c r="D16" s="40"/>
      <x:c r="E16" s="40"/>
    </x:row>
    <x:row r="17" ht="16.5">
      <x:c r="A17" s="13" t="s">
        <x:v>90</x:v>
      </x:c>
      <x:c r="B17" s="43" t="n">
        <x:f>COUNTIF('访谈记录'!H6:H28,"条件正向")</x:f>
        <x:v>6</x:v>
      </x:c>
      <x:c r="C17" s="44" t="s">
        <x:v>91</x:v>
      </x:c>
      <x:c r="D17" s="40"/>
      <x:c r="E17" s="40"/>
    </x:row>
    <x:row r="18" ht="16.5">
      <x:c r="A18" s="13" t="s">
        <x:v>92</x:v>
      </x:c>
      <x:c r="B18" s="43" t="n">
        <x:f>COUNTIF('访谈记录'!H6:H28,"中性")</x:f>
        <x:v>0</x:v>
      </x:c>
      <x:c r="C18" s="44" t="s">
        <x:v>93</x:v>
      </x:c>
      <x:c r="D18" s="40"/>
      <x:c r="E18" s="40"/>
    </x:row>
    <x:row r="19" ht="16.5">
      <x:c r="A19" s="13" t="s">
        <x:v>94</x:v>
      </x:c>
      <x:c r="B19" s="43" t="n">
        <x:f>COUNTIF('访谈记录'!H6:H28,"负向")</x:f>
        <x:v>1</x:v>
      </x:c>
      <x:c r="C19" s="44" t="s">
        <x:v>95</x:v>
      </x:c>
      <x:c r="D19" s="40"/>
      <x:c r="E19" s="40"/>
    </x:row>
    <x:row r="20" ht="16.5">
      <x:c r="A20" s="13" t="s">
        <x:v>96</x:v>
      </x:c>
      <x:c r="B20" s="43" t="n">
        <x:f>COUNTIF('访谈记录'!H6:H28,"材料不足")</x:f>
        <x:v>9</x:v>
      </x:c>
      <x:c r="C20" s="44" t="s">
        <x:v>97</x:v>
      </x:c>
      <x:c r="D20" s="40"/>
      <x:c r="E20" s="40"/>
    </x:row>
    <x:row r="21" ht="16.5">
      <x:c r="A21" s="2"/>
      <x:c r="B21" s="40"/>
      <x:c r="C21" s="40"/>
      <x:c r="D21" s="40"/>
      <x:c r="E21" s="40"/>
    </x:row>
    <x:row r="22" ht="15">
      <x:c r="A22" s="11" t="s">
        <x:v>98</x:v>
      </x:c>
      <x:c r="B22" s="41"/>
      <x:c r="C22" s="41"/>
      <x:c r="D22" s="41"/>
      <x:c r="E22" s="41"/>
    </x:row>
    <x:row r="23" ht="16.5">
      <x:c r="A23" s="15" t="s">
        <x:v>99</x:v>
      </x:c>
      <x:c r="B23" s="36" t="str">
        <x:v>材料不足：问题与方案方向有客户证据，但产品效果尚未验证。</x:v>
      </x:c>
      <x:c r="C23" s="37" t="str">
        <x:v>已记录题数</x:v>
      </x:c>
      <x:c r="D23" s="38" t="n">
        <x:f>COUNTA('访谈记录'!E6:E28)</x:f>
        <x:v>23</x:v>
      </x:c>
      <x:c r="E23" s="38"/>
    </x:row>
    <x:row r="24" ht="54" customHeight="1">
      <x:c r="A24" s="18" t="s">
        <x:v>100</x:v>
      </x:c>
      <x:c r="B24" s="36" t="str">
        <x:v>“首先是量、进度指标和工装，基本上就能出第一版；不合理就调工装。”另：“非控制点可以忽略，必须打通的节点要考虑细。”</x:v>
      </x:c>
      <x:c r="C24" s="36"/>
      <x:c r="D24" s="36"/>
      <x:c r="E24" s="36"/>
    </x:row>
    <x:row r="25" ht="54" customHeight="1">
      <x:c r="A25" s="17"/>
      <x:c r="B25" s="36"/>
      <x:c r="C25" s="36"/>
      <x:c r="D25" s="36"/>
      <x:c r="E25" s="36"/>
    </x:row>
    <x:row r="26" ht="54" customHeight="1">
      <x:c r="A26" s="18" t="s">
        <x:v>101</x:v>
      </x:c>
      <x:c r="B26" s="36" t="str">
        <x:v>E04/E06/E12：控制点分层粒度；E13/E16：量—指标—工装—校核循环；E14：系统结果必须由专家检查逻辑和遗漏条件。</x:v>
      </x:c>
      <x:c r="C26" s="36"/>
      <x:c r="D26" s="36"/>
      <x:c r="E26" s="36"/>
    </x:row>
    <x:row r="27" ht="54" customHeight="1">
      <x:c r="A27" s="17"/>
      <x:c r="B27" s="36"/>
      <x:c r="C27" s="36"/>
      <x:c r="D27" s="36"/>
      <x:c r="E27" s="36"/>
    </x:row>
    <x:row r="28" ht="54" customHeight="1">
      <x:c r="A28" s="18" t="s">
        <x:v>102</x:v>
      </x:c>
      <x:c r="B28" s="36" t="str">
        <x:v>未发生客户真实操作；未提供完整系统结果、4月/6月计划、指标表和工装表；效率、准确性、采纳和付费均不能判断。</x:v>
      </x:c>
      <x:c r="C28" s="36"/>
      <x:c r="D28" s="36"/>
      <x:c r="E28" s="36"/>
    </x:row>
    <x:row r="29" ht="54" customHeight="1">
      <x:c r="A29" s="17"/>
      <x:c r="B29" s="36"/>
      <x:c r="C29" s="36"/>
      <x:c r="D29" s="36"/>
      <x:c r="E29" s="36"/>
    </x:row>
    <x:row r="30" ht="54" customHeight="1">
      <x:c r="A30" s="18" t="s">
        <x:v>103</x:v>
      </x:c>
      <x:c r="B30" s="36" t="str">
        <x:v>选一座控制桥和一座普通桥，用真实数据完成“初版—客户指出问题—修改—重算”；再围绕一个真实决策验证2—3套受控方案。</x:v>
      </x:c>
      <x:c r="C30" s="36"/>
      <x:c r="D30" s="36"/>
      <x:c r="E30" s="36"/>
    </x:row>
    <x:row r="31" ht="54" customHeight="1">
      <x:c r="A31" s="17"/>
      <x:c r="B31" s="36"/>
      <x:c r="C31" s="36"/>
      <x:c r="D31" s="36"/>
      <x:c r="E31" s="36"/>
    </x:row>
    <x:row r="32" ht="34" customHeight="1">
      <x:c r="A32" s="18" t="s">
        <x:v>104</x:v>
      </x:c>
      <x:c r="B32" s="36" t="str">
        <x:v>4月/6月计划、业主与总包指标、工装配置、梁场/运输资料、月计划与实际完成数据</x:v>
      </x:c>
      <x:c r="C32" s="39" t="str">
        <x:v>目标复核角色</x:v>
      </x:c>
      <x:c r="D32" s="36" t="str">
        <x:v>项目工程部长；其他实际编制/审核参与人待客户确认</x:v>
      </x:c>
      <x:c r="E32" s="36"/>
    </x:row>
    <x:row r="33" ht="34" customHeight="1">
      <x:c r="A33" s="18" t="s">
        <x:v>105</x:v>
      </x:c>
      <x:c r="B33" s="36" t="str">
        <x:v>方案负责人收敛P0；L01保留调研与验证证据，真实数据推演后再更新结论。</x:v>
      </x:c>
      <x:c r="C33" s="36"/>
      <x:c r="D33" s="36"/>
      <x:c r="E33" s="36"/>
    </x:row>
    <x:row r="34" ht="34" customHeight="1">
      <x:c r="A34" s="18" t="s">
        <x:v>106</x:v>
      </x:c>
      <x:c r="B34" s="36" t="str">
        <x:v>本表支持需求与方案方向判断，不等同于系统使用效果验证。</x:v>
      </x:c>
      <x:c r="C34" s="36"/>
      <x:c r="D34" s="36"/>
      <x:c r="E34" s="36"/>
    </x:row>
  </x:sheetData>
  <x:mergeCells>
    <x:mergeCell ref="A1:E1"/>
    <x:mergeCell ref="A6:E6"/>
    <x:mergeCell ref="A14:E14"/>
    <x:mergeCell ref="A22:E22"/>
    <x:mergeCell ref="D23:E23"/>
    <x:mergeCell ref="B33:E33"/>
    <x:mergeCell ref="B34:E34"/>
    <x:mergeCell ref="B24:E25"/>
    <x:mergeCell ref="B26:E27"/>
    <x:mergeCell ref="B28:E29"/>
    <x:mergeCell ref="B30:E31"/>
  </x:mergeCells>
  <x:conditionalFormatting sqref="B23:B23">
    <x:cfRule type="containsText" dxfId="4" priority="5" operator="between" text="通过">
      <x:formula>NOT(ISERROR(SEARCH("通过",B23)))</x:formula>
    </x:cfRule>
    <x:cfRule type="containsText" dxfId="5" priority="6" operator="between" text="不通过">
      <x:formula>NOT(ISERROR(SEARCH("不通过",B23)))</x:formula>
    </x:cfRule>
    <x:cfRule type="containsText" dxfId="3" priority="7" operator="between" text="材料不足">
      <x:formula>NOT(ISERROR(SEARCH("材料不足",B23)))</x:formula>
    </x:cfRule>
  </x:conditionalFormatting>
  <x:conditionalFormatting sqref="B8:B12">
    <x:cfRule type="containsText" dxfId="0" priority="1" operator="between" text="强成立">
      <x:formula>NOT(ISERROR(SEARCH("强成立",B8)))</x:formula>
    </x:cfRule>
    <x:cfRule type="containsText" dxfId="1" priority="2" operator="between" text="条件成立">
      <x:formula>NOT(ISERROR(SEARCH("条件成立",B8)))</x:formula>
    </x:cfRule>
    <x:cfRule type="containsText" dxfId="2" priority="3" operator="between" text="不成立">
      <x:formula>NOT(ISERROR(SEARCH("不成立",B8)))</x:formula>
    </x:cfRule>
    <x:cfRule type="containsText" dxfId="3" priority="4" operator="between" text="材料不足">
      <x:formula>NOT(ISERROR(SEARCH("材料不足",B8)))</x:formula>
    </x:cfRule>
  </x:conditionalFormatting>
  <x:dataValidations count="2">
    <x:dataValidation type="list" sqref="B23">
      <x:formula1>"通过,条件通过,不通过,材料不足"</x:formula1>
    </x:dataValidation>
    <x:dataValidation type="list" sqref="B8:B12">
      <x:formula1>"通过,不通过,材料不足"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sheetData>
    <x:row r="1" ht="34" customHeight="1"/>
    <x:row r="4" ht="34" customHeight="1"/>
    <x:row r="5" ht="34" customHeight="1"/>
    <x:row r="6" ht="34" customHeight="1"/>
    <x:row r="7" ht="28" customHeight="1"/>
    <x:row r="8" ht="28" customHeight="1"/>
    <x:row r="9" ht="30" customHeight="1"/>
    <x:row r="10" ht="30" customHeight="1"/>
    <x:row r="11" ht="30" customHeight="1"/>
    <x:row r="12" ht="30" customHeight="1"/>
    <x:row r="13" ht="28" customHeight="1"/>
    <x:row r="14" ht="28" customHeight="1"/>
    <x:row r="15" ht="28" customHeight="1"/>
    <x:row r="16" ht="28" customHeight="1"/>
    <x:row r="17" ht="28" customHeight="1"/>
    <x:row r="18" ht="28" customHeight="1"/>
    <x:row r="19" ht="28" customHeight="1"/>
    <x:row r="20" ht="28" customHeight="1"/>
    <x:row r="21" ht="28" customHeight="1"/>
    <x:row r="22" ht="28" customHeight="1"/>
    <x:row r="23" ht="28" customHeight="1"/>
    <x:row r="24" ht="28" customHeight="1"/>
    <x:row r="25" ht="28" customHeight="1"/>
    <x:row r="26" ht="28" customHeight="1"/>
    <x:row r="27" ht="28" customHeight="1"/>
    <x:row r="28" ht="28" customHeight="1"/>
    <x:row r="29" ht="28" customHeight="1"/>
    <x:row r="30" ht="28" customHeight="1"/>
    <x:row r="31" ht="28" customHeight="1"/>
    <x:row r="32" ht="28" customHeight="1"/>
    <x:row r="33" ht="28" customHeight="1"/>
    <x:row r="34" ht="28" customHeight="1"/>
  </x:sheetData>
  <x:pageMargins left="0.7" right="0.7" top="0.75" bottom="0.75" header="0.3" footer="0.3"/>
</x:worksheet>
</file>