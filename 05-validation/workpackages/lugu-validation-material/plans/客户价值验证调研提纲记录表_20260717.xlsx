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访谈记录" sheetId="1" r:id="rId1"/>
    <sheet name="结论汇总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<sst xmlns="http://schemas.openxmlformats.org/spreadsheetml/2006/main" count="358" uniqueCount="110">
  <si>
    <t>客户价值验证调研提纲记录表</t>
  </si>
  <si>
    <t>访谈日期</t>
  </si>
  <si>
    <t>受访角色</t>
  </si>
  <si>
    <t>访谈人员</t>
  </si>
  <si>
    <t>项目/范围（脱敏）</t>
  </si>
  <si>
    <t>是否参与原计划</t>
  </si>
  <si>
    <t>原计划版本/日期</t>
  </si>
  <si>
    <t>记录状态</t>
  </si>
  <si>
    <t>验证方式</t>
  </si>
  <si>
    <t>序号</t>
  </si>
  <si>
    <t>访谈环节</t>
  </si>
  <si>
    <t>核心问题（客户话术）</t>
  </si>
  <si>
    <t>追问提示</t>
  </si>
  <si>
    <t>客户原话/事实记录</t>
  </si>
  <si>
    <t>证据类型</t>
  </si>
  <si>
    <t>是否有具体例证</t>
  </si>
  <si>
    <t>价值影响</t>
  </si>
  <si>
    <t>当前判断</t>
  </si>
  <si>
    <t>待补证据/问题</t>
  </si>
  <si>
    <t>后续动作</t>
  </si>
  <si>
    <t>背景与流程</t>
  </si>
  <si>
    <t>您在这版计划的编制、审核或调整过程中主要负责哪一部分？</t>
  </si>
  <si>
    <t>确认真实参与角色与责任范围。</t>
  </si>
  <si>
    <t/>
  </si>
  <si>
    <t>这版计划当时是怎样形成的？主要参考了哪些材料，经过了哪些关键步骤？</t>
  </si>
  <si>
    <t>追问参与人员、输入材料和计划形成顺序，不补写未出现的流程。</t>
  </si>
  <si>
    <t>编制或审核过程中，哪个环节最需要反复判断或依赖经验？</t>
  </si>
  <si>
    <t>追问工期、顺序、资源、关键节点以及为什么困难。</t>
  </si>
  <si>
    <t>计划发生变化后，通常怎样检查影响范围？哪一部分最难调整？</t>
  </si>
  <si>
    <t>追问跨表核对、上下游影响和人工复核过程。</t>
  </si>
  <si>
    <t>结果复核</t>
  </si>
  <si>
    <t>从整体上看，系统结果中哪些与原判断一致？哪些地方明显不一致？</t>
  </si>
  <si>
    <t>先让客户自主判断，再定位到具体节点、资源或施工顺序。</t>
  </si>
  <si>
    <t>对于不一致的部分，您认为主要原因是什么？</t>
  </si>
  <si>
    <t>区分数据不完整、施工条件遗漏、规则设置、系统逻辑或人工计划假设。</t>
  </si>
  <si>
    <t>结果中有没有明显不合理、不能用于实际判断的内容？实际情况应该是什么？</t>
  </si>
  <si>
    <t>要求给出具体例子和正确业务口径。</t>
  </si>
  <si>
    <t>系统还遗漏了哪些现场条件、施工限制或专业经验？</t>
  </si>
  <si>
    <t>记录缺失条件及其对结果的影响，不现场替产品辩解。</t>
  </si>
  <si>
    <t>增量价值</t>
  </si>
  <si>
    <t>这次结果有没有呈现出原 Excel 中不容易直接看出的信息？请指出一个具体例子。</t>
  </si>
  <si>
    <t>若只回答“直观”，继续追问新发现了什么。</t>
  </si>
  <si>
    <t>如果在原计划编制或审核时看到这些信息，是否会促使您进一步检查或调整某项安排？</t>
  </si>
  <si>
    <t>追问会检查什么、可能影响哪项判断；若不会，追问原因。</t>
  </si>
  <si>
    <t>哪一部分结果对您最有帮助？为什么？</t>
  </si>
  <si>
    <t>可追问节点可达性、资源冲突、施工顺序、方案比较，但不要代替客户回答。</t>
  </si>
  <si>
    <t>哪些展示看起来完整，但对实际工作没有帮助？</t>
  </si>
  <si>
    <t>识别非机会点、冗余展示和客户不关心的内容。</t>
  </si>
  <si>
    <t>请用一句话描述：这个结果帮助我更早或更清楚地发现了____，从而可以____。</t>
  </si>
  <si>
    <t>尽量记录客户原话；无法完成时，不将泛泛认可作为价值证据。</t>
  </si>
  <si>
    <t>可信度</t>
  </si>
  <si>
    <t>如果将这份结果用于计划讨论或审核，您最需要系统解释清楚哪些内容？</t>
  </si>
  <si>
    <t>追问数据来源、工效、资源、工序关系、关键节点和假设。</t>
  </si>
  <si>
    <t>哪些输入数据、计算假设和排程规则必须能够查看或修改，您才会信任结果？</t>
  </si>
  <si>
    <t>区分通用模板与项目必须调整的参数。</t>
  </si>
  <si>
    <t>当系统结果和人工计划不一致时，您希望看到什么信息来判断哪一方更合理？</t>
  </si>
  <si>
    <t>追问差异定位、计算依据、调整前后变化和责任确认。</t>
  </si>
  <si>
    <t>未来落地</t>
  </si>
  <si>
    <t>如果结果准确可信，它最适合进入哪个计划工作环节？</t>
  </si>
  <si>
    <t>开放回答后，再提示初始计划复核、月计划、节点分析、方案比较或计划会议。</t>
  </si>
  <si>
    <t>形成这类结果时，哪些数据可以复用现有材料？哪些数据目前缺失或质量不稳定？</t>
  </si>
  <si>
    <t>关注数据来源、维护责任和重复录入风险，不推断数据频率。</t>
  </si>
  <si>
    <t>哪些规则可以形成通用模板？哪些必须根据不同项目调整？</t>
  </si>
  <si>
    <t>关注项目差异、配置负担和一次性人工建模成本。</t>
  </si>
  <si>
    <t>如果未来进入实际工作，谁适合准备数据、确认规则、复核结果和使用结论？</t>
  </si>
  <si>
    <t>按客户实际出现的角色记录，不预设决策链路。</t>
  </si>
  <si>
    <t>产品至少满足哪些条件，您才愿意把它作为计划分析或复核的参考工具？</t>
  </si>
  <si>
    <t>验证必要条件，不追问当前无法证明的正式使用或付费意愿。</t>
  </si>
  <si>
    <t>下一轮验证</t>
  </si>
  <si>
    <t>如果继续验证，下一个最值得选择的真实问题是什么？</t>
  </si>
  <si>
    <t>要求收敛到一个具体范围、一个真实问题和一次可复核结果。</t>
  </si>
  <si>
    <t>需要补充哪些数据、由哪些实际参与人员共同复核？如果当前价值不明显，最主要原因是什么？</t>
  </si>
  <si>
    <t>确认可执行的下一步；允许明确回答不值得继续。</t>
  </si>
  <si>
    <t>客户价值验证结论汇总</t>
  </si>
  <si>
    <t>一、核心产品假设判断</t>
  </si>
  <si>
    <t>产品假设</t>
  </si>
  <si>
    <t>验证结果</t>
  </si>
  <si>
    <t>证据摘要</t>
  </si>
  <si>
    <t>限制/反证</t>
  </si>
  <si>
    <t>下一步动作</t>
  </si>
  <si>
    <t>系统结果能提供原 Excel 不易直接发现的信息</t>
  </si>
  <si>
    <t>结果能支持一次具体的计划复核或决策</t>
  </si>
  <si>
    <t>结果差异可以通过数据、规则或假设解释</t>
  </si>
  <si>
    <t>数据准备与建模成本具备可控的产品化可能</t>
  </si>
  <si>
    <t>客户愿意投入下一轮真实数据和人员复核</t>
  </si>
  <si>
    <t>二、访谈记录信号统计（自动汇总）</t>
  </si>
  <si>
    <t>信号类型</t>
  </si>
  <si>
    <t>数量</t>
  </si>
  <si>
    <t>说明</t>
  </si>
  <si>
    <t>正向</t>
  </si>
  <si>
    <t>客户给出具体正向判断</t>
  </si>
  <si>
    <t>条件正向</t>
  </si>
  <si>
    <t>价值存在，但依赖数据、规则或流程条件</t>
  </si>
  <si>
    <t>中性</t>
  </si>
  <si>
    <t>未形成明确价值或反对意见</t>
  </si>
  <si>
    <t>负向</t>
  </si>
  <si>
    <t>客户明确认为无价值、不可信或难落地</t>
  </si>
  <si>
    <t>材料不足</t>
  </si>
  <si>
    <t>缺少例证、数据或有效复核人</t>
  </si>
  <si>
    <t>三、总体结论与下一轮验证</t>
  </si>
  <si>
    <t>总体结论</t>
  </si>
  <si>
    <t>已记录题数</t>
  </si>
  <si>
    <t>客户价值原话</t>
  </si>
  <si>
    <t>结论依据</t>
  </si>
  <si>
    <t>主要限制/反证</t>
  </si>
  <si>
    <t>下一轮真实问题</t>
  </si>
  <si>
    <t>所需数据</t>
  </si>
  <si>
    <t>目标复核角色</t>
  </si>
  <si>
    <t>后续回流方向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</si>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</sst>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8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0"/>
      <color rgb="FF1F2937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17365D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/>
    <xf numFmtId="0" fontId="3" fillId="3" borderId="1" xfId="49" applyNumberFormat="1" applyFont="1" applyFill="1" applyBorder="1"/>
    <xf numFmtId="0" fontId="3" fillId="0" borderId="1" xfId="49" applyNumberFormat="1" applyFont="1" applyFill="1" applyBorder="1"/>
    <xf numFmtId="176" fontId="2" fillId="4" borderId="1" xfId="49" applyNumberFormat="1" applyFont="1" applyFill="1" applyBorder="1"/>
    <xf numFmtId="0" fontId="2" fillId="4" borderId="1" xfId="49" applyNumberFormat="1" applyFont="1" applyFill="1" applyBorder="1"/>
    <xf numFmtId="0" fontId="4" fillId="5" borderId="0" xfId="49" applyNumberFormat="1" applyFont="1" applyFill="1" applyBorder="1" applyAlignment="1">
      <alignment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2" fillId="6" borderId="1" xfId="49" applyNumberFormat="1" applyFont="1" applyFill="1" applyBorder="1" applyAlignment="1">
      <alignment wrapText="1"/>
    </xf>
    <xf numFmtId="0" fontId="2" fillId="7" borderId="1" xfId="49" applyNumberFormat="1" applyFont="1" applyFill="1" applyBorder="1" applyAlignment="1">
      <alignment wrapText="1"/>
    </xf>
    <xf numFmtId="0" fontId="4" fillId="5" borderId="0" xfId="49" applyNumberFormat="1" applyFont="1" applyFill="1" applyBorder="1"/>
    <xf numFmtId="0" fontId="3" fillId="3" borderId="1" xfId="49" applyNumberFormat="1" applyFont="1" applyFill="1" applyBorder="1" applyAlignment="1">
      <alignment horizontal="center" wrapText="1"/>
    </xf>
    <xf numFmtId="0" fontId="2" fillId="4" borderId="1" xfId="49" applyNumberFormat="1" applyFont="1" applyFill="1" applyBorder="1" applyAlignment="1">
      <alignment wrapText="1"/>
    </xf>
    <xf numFmtId="1" fontId="2" fillId="4" borderId="1" xfId="49" applyNumberFormat="1" applyFont="1" applyFill="1" applyBorder="1" applyAlignment="1">
      <alignment wrapText="1"/>
    </xf>
    <xf numFmtId="0" fontId="2" fillId="3" borderId="1" xfId="49" applyNumberFormat="1" applyFont="1" applyFill="1" applyBorder="1" applyAlignment="1">
      <alignment vertical="top" wrapText="1"/>
    </xf>
    <xf numFmtId="0" fontId="2" fillId="7" borderId="1" xfId="49" applyNumberFormat="1" applyFont="1" applyFill="1" applyBorder="1" applyAlignment="1">
      <alignment vertical="top" wrapText="1"/>
    </xf>
    <xf numFmtId="0" fontId="2" fillId="0" borderId="1" xfId="49" applyNumberFormat="1" applyFont="1" applyFill="1" applyBorder="1" applyAlignment="1">
      <alignment vertical="top" wrapText="1"/>
    </xf>
    <xf numFmtId="0" fontId="3" fillId="3" borderId="1" xfId="49" applyNumberFormat="1" applyFont="1" applyFill="1" applyBorder="1" applyAlignment="1">
      <alignment vertical="top" wrapText="1"/>
    </xf>
    <xf numFmtId="0" fontId="3" fillId="7" borderId="1" xfId="49" applyNumberFormat="1" applyFont="1" applyFill="1" applyBorder="1" applyAlignment="1">
      <alignment vertical="top" wrapText="1"/>
    </xf>
    <xf numFmtId="0" fontId="5" fillId="3" borderId="1" xfId="49" applyNumberFormat="1" applyFont="1" applyFill="1" applyBorder="1" applyAlignment="1">
      <alignment vertical="center"/>
    </xf>
    <xf numFmtId="176" fontId="2" fillId="7" borderId="1" xfId="49" applyNumberFormat="1" applyFont="1" applyFill="1" applyBorder="1" applyAlignment="1">
      <alignment vertical="center"/>
    </xf>
    <xf numFmtId="0" fontId="2" fillId="7" borderId="1" xfId="49" applyNumberFormat="1" applyFont="1" applyFill="1" applyBorder="1" applyAlignment="1">
      <alignment vertical="center"/>
    </xf>
    <xf numFmtId="0" fontId="6" fillId="5" borderId="0" xfId="49" applyNumberFormat="1" applyFont="1" applyFill="1" applyBorder="1" applyAlignment="1">
      <alignment horizontal="center" vertical="center" wrapText="1"/>
    </xf>
    <xf numFmtId="0" fontId="2" fillId="6" borderId="0" xfId="49" applyNumberFormat="1" applyFont="1" applyFill="1" applyBorder="1" applyAlignment="1">
      <alignment horizontal="center" vertical="top" wrapText="1"/>
    </xf>
    <xf numFmtId="0" fontId="2" fillId="6" borderId="0" xfId="49" applyNumberFormat="1" applyFont="1" applyFill="1" applyBorder="1" applyAlignment="1">
      <alignment vertical="top" wrapText="1"/>
    </xf>
    <xf numFmtId="0" fontId="2" fillId="7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  <color rgb="FF375623"/>
      </font>
      <fill>
        <patternFill patternType="solid">
          <bgColor rgb="FFC6E0B4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stomerValueInterviewTable" displayName="CustomerValueInterviewTable" ref="A5:K28" totalsRowShown="0">
  <autoFilter xmlns:etc="http://www.wps.cn/officeDocument/2017/etCustomData" ref="A5:K28" etc:filterBottomFollowUsedRange="0"/>
  <tableColumns count="11">
    <tableColumn id="1" name="序号"/>
    <tableColumn id="2" name="访谈环节"/>
    <tableColumn id="3" name="核心问题（客户话术）"/>
    <tableColumn id="4" name="追问提示"/>
    <tableColumn id="5" name="客户原话/事实记录"/>
    <tableColumn id="6" name="证据类型"/>
    <tableColumn id="7" name="是否有具体例证"/>
    <tableColumn id="8" name="价值影响"/>
    <tableColumn id="9" name="当前判断"/>
    <tableColumn id="10" name="待补证据/问题"/>
    <tableColumn id="11" name="后续动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tabSelected="1" topLeftCell="A3" workbookViewId="0">
      <selection activeCell="E8" sqref="E8"/>
    </sheetView>
  </sheetViews>
  <sheetFormatPr defaultColWidth="9" defaultRowHeight="14.25"/>
  <cols>
    <col min="1" max="1" width="7" customWidth="1"/>
    <col min="2" max="2" width="13" customWidth="1"/>
    <col min="3" max="3" width="42" customWidth="1"/>
    <col min="4" max="4" width="34" customWidth="1"/>
    <col min="5" max="5" width="40" customWidth="1"/>
    <col min="6" max="6" width="13" customWidth="1"/>
    <col min="7" max="7" width="14" customWidth="1"/>
    <col min="8" max="8" width="16" customWidth="1"/>
    <col min="9" max="9" width="14" customWidth="1"/>
    <col min="10" max="10" width="28" customWidth="1"/>
    <col min="11" max="11" width="25" customWidth="1"/>
  </cols>
  <sheetData>
    <row r="1" ht="34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 spans="1:11">
      <c r="A2" s="20" t="s">
        <v>1</v>
      </c>
      <c r="B2" s="21"/>
      <c r="C2" s="20" t="s">
        <v>2</v>
      </c>
      <c r="D2" s="22"/>
      <c r="E2" s="20" t="s">
        <v>3</v>
      </c>
      <c r="F2" s="22"/>
      <c r="G2" s="20" t="s">
        <v>4</v>
      </c>
      <c r="H2" s="22"/>
      <c r="I2" s="22"/>
      <c r="J2" s="22"/>
      <c r="K2" s="22"/>
    </row>
    <row r="3" ht="26" customHeight="1" spans="1:11">
      <c r="A3" s="20" t="s">
        <v>5</v>
      </c>
      <c r="B3" s="22"/>
      <c r="C3" s="20" t="s">
        <v>6</v>
      </c>
      <c r="D3" s="22"/>
      <c r="E3" s="22"/>
      <c r="F3" s="22"/>
      <c r="G3" s="20" t="s">
        <v>7</v>
      </c>
      <c r="H3" s="22"/>
      <c r="I3" s="20" t="s">
        <v>8</v>
      </c>
      <c r="J3" s="22"/>
      <c r="K3" s="22"/>
    </row>
    <row r="5" ht="36" customHeight="1" spans="1:11">
      <c r="A5" s="23" t="s">
        <v>9</v>
      </c>
      <c r="B5" s="23" t="s">
        <v>10</v>
      </c>
      <c r="C5" s="23" t="s">
        <v>11</v>
      </c>
      <c r="D5" s="23" t="s">
        <v>12</v>
      </c>
      <c r="E5" s="23" t="s">
        <v>13</v>
      </c>
      <c r="F5" s="23" t="s">
        <v>14</v>
      </c>
      <c r="G5" s="23" t="s">
        <v>15</v>
      </c>
      <c r="H5" s="23" t="s">
        <v>16</v>
      </c>
      <c r="I5" s="23" t="s">
        <v>17</v>
      </c>
      <c r="J5" s="23" t="s">
        <v>18</v>
      </c>
      <c r="K5" s="23" t="s">
        <v>19</v>
      </c>
    </row>
    <row r="6" ht="62" customHeight="1" spans="1:11">
      <c r="A6" s="24">
        <v>1</v>
      </c>
      <c r="B6" s="24" t="s">
        <v>20</v>
      </c>
      <c r="C6" s="25" t="s">
        <v>21</v>
      </c>
      <c r="D6" s="25" t="s">
        <v>22</v>
      </c>
      <c r="E6" s="26" t="s">
        <v>23</v>
      </c>
      <c r="F6" s="26" t="s">
        <v>23</v>
      </c>
      <c r="G6" s="26" t="s">
        <v>23</v>
      </c>
      <c r="H6" s="26" t="s">
        <v>23</v>
      </c>
      <c r="I6" s="26" t="s">
        <v>23</v>
      </c>
      <c r="J6" s="26" t="s">
        <v>23</v>
      </c>
      <c r="K6" s="26" t="s">
        <v>23</v>
      </c>
    </row>
    <row r="7" ht="62" customHeight="1" spans="1:11">
      <c r="A7" s="24">
        <v>2</v>
      </c>
      <c r="B7" s="24" t="s">
        <v>20</v>
      </c>
      <c r="C7" s="25" t="s">
        <v>24</v>
      </c>
      <c r="D7" s="25" t="s">
        <v>25</v>
      </c>
      <c r="E7" s="26" t="s">
        <v>23</v>
      </c>
      <c r="F7" s="26" t="s">
        <v>23</v>
      </c>
      <c r="G7" s="26" t="s">
        <v>23</v>
      </c>
      <c r="H7" s="26" t="s">
        <v>23</v>
      </c>
      <c r="I7" s="26" t="s">
        <v>23</v>
      </c>
      <c r="J7" s="26" t="s">
        <v>23</v>
      </c>
      <c r="K7" s="26" t="s">
        <v>23</v>
      </c>
    </row>
    <row r="8" ht="62" customHeight="1" spans="1:11">
      <c r="A8" s="24">
        <v>3</v>
      </c>
      <c r="B8" s="24" t="s">
        <v>20</v>
      </c>
      <c r="C8" s="25" t="s">
        <v>26</v>
      </c>
      <c r="D8" s="25" t="s">
        <v>27</v>
      </c>
      <c r="E8" s="26" t="s">
        <v>23</v>
      </c>
      <c r="F8" s="26" t="s">
        <v>23</v>
      </c>
      <c r="G8" s="26" t="s">
        <v>23</v>
      </c>
      <c r="H8" s="26" t="s">
        <v>23</v>
      </c>
      <c r="I8" s="26" t="s">
        <v>23</v>
      </c>
      <c r="J8" s="26" t="s">
        <v>23</v>
      </c>
      <c r="K8" s="26" t="s">
        <v>23</v>
      </c>
    </row>
    <row r="9" ht="62" customHeight="1" spans="1:11">
      <c r="A9" s="24">
        <v>4</v>
      </c>
      <c r="B9" s="24" t="s">
        <v>20</v>
      </c>
      <c r="C9" s="25" t="s">
        <v>28</v>
      </c>
      <c r="D9" s="25" t="s">
        <v>29</v>
      </c>
      <c r="E9" s="26" t="s">
        <v>23</v>
      </c>
      <c r="F9" s="26" t="s">
        <v>23</v>
      </c>
      <c r="G9" s="26" t="s">
        <v>23</v>
      </c>
      <c r="H9" s="26" t="s">
        <v>23</v>
      </c>
      <c r="I9" s="26" t="s">
        <v>23</v>
      </c>
      <c r="J9" s="26" t="s">
        <v>23</v>
      </c>
      <c r="K9" s="26" t="s">
        <v>23</v>
      </c>
    </row>
    <row r="10" ht="62" customHeight="1" spans="1:11">
      <c r="A10" s="24">
        <v>5</v>
      </c>
      <c r="B10" s="24" t="s">
        <v>30</v>
      </c>
      <c r="C10" s="25" t="s">
        <v>31</v>
      </c>
      <c r="D10" s="25" t="s">
        <v>32</v>
      </c>
      <c r="E10" s="26" t="s">
        <v>23</v>
      </c>
      <c r="F10" s="26" t="s">
        <v>23</v>
      </c>
      <c r="G10" s="26" t="s">
        <v>23</v>
      </c>
      <c r="H10" s="26" t="s">
        <v>23</v>
      </c>
      <c r="I10" s="26" t="s">
        <v>23</v>
      </c>
      <c r="J10" s="26" t="s">
        <v>23</v>
      </c>
      <c r="K10" s="26" t="s">
        <v>23</v>
      </c>
    </row>
    <row r="11" ht="62" customHeight="1" spans="1:11">
      <c r="A11" s="24">
        <v>6</v>
      </c>
      <c r="B11" s="24" t="s">
        <v>30</v>
      </c>
      <c r="C11" s="25" t="s">
        <v>33</v>
      </c>
      <c r="D11" s="25" t="s">
        <v>34</v>
      </c>
      <c r="E11" s="26" t="s">
        <v>23</v>
      </c>
      <c r="F11" s="26" t="s">
        <v>23</v>
      </c>
      <c r="G11" s="26" t="s">
        <v>23</v>
      </c>
      <c r="H11" s="26" t="s">
        <v>23</v>
      </c>
      <c r="I11" s="26" t="s">
        <v>23</v>
      </c>
      <c r="J11" s="26" t="s">
        <v>23</v>
      </c>
      <c r="K11" s="26" t="s">
        <v>23</v>
      </c>
    </row>
    <row r="12" ht="62" customHeight="1" spans="1:11">
      <c r="A12" s="24">
        <v>7</v>
      </c>
      <c r="B12" s="24" t="s">
        <v>30</v>
      </c>
      <c r="C12" s="25" t="s">
        <v>35</v>
      </c>
      <c r="D12" s="25" t="s">
        <v>36</v>
      </c>
      <c r="E12" s="26" t="s">
        <v>23</v>
      </c>
      <c r="F12" s="26" t="s">
        <v>23</v>
      </c>
      <c r="G12" s="26" t="s">
        <v>23</v>
      </c>
      <c r="H12" s="26" t="s">
        <v>23</v>
      </c>
      <c r="I12" s="26" t="s">
        <v>23</v>
      </c>
      <c r="J12" s="26" t="s">
        <v>23</v>
      </c>
      <c r="K12" s="26" t="s">
        <v>23</v>
      </c>
    </row>
    <row r="13" ht="62" customHeight="1" spans="1:11">
      <c r="A13" s="24">
        <v>8</v>
      </c>
      <c r="B13" s="24" t="s">
        <v>30</v>
      </c>
      <c r="C13" s="25" t="s">
        <v>37</v>
      </c>
      <c r="D13" s="25" t="s">
        <v>38</v>
      </c>
      <c r="E13" s="26" t="s">
        <v>23</v>
      </c>
      <c r="F13" s="26" t="s">
        <v>23</v>
      </c>
      <c r="G13" s="26" t="s">
        <v>23</v>
      </c>
      <c r="H13" s="26" t="s">
        <v>23</v>
      </c>
      <c r="I13" s="26" t="s">
        <v>23</v>
      </c>
      <c r="J13" s="26" t="s">
        <v>23</v>
      </c>
      <c r="K13" s="26" t="s">
        <v>23</v>
      </c>
    </row>
    <row r="14" ht="62" customHeight="1" spans="1:11">
      <c r="A14" s="24">
        <v>9</v>
      </c>
      <c r="B14" s="24" t="s">
        <v>39</v>
      </c>
      <c r="C14" s="25" t="s">
        <v>40</v>
      </c>
      <c r="D14" s="25" t="s">
        <v>41</v>
      </c>
      <c r="E14" s="26" t="s">
        <v>23</v>
      </c>
      <c r="F14" s="26" t="s">
        <v>23</v>
      </c>
      <c r="G14" s="26" t="s">
        <v>23</v>
      </c>
      <c r="H14" s="26" t="s">
        <v>23</v>
      </c>
      <c r="I14" s="26" t="s">
        <v>23</v>
      </c>
      <c r="J14" s="26" t="s">
        <v>23</v>
      </c>
      <c r="K14" s="26" t="s">
        <v>23</v>
      </c>
    </row>
    <row r="15" ht="62" customHeight="1" spans="1:11">
      <c r="A15" s="24">
        <v>10</v>
      </c>
      <c r="B15" s="24" t="s">
        <v>39</v>
      </c>
      <c r="C15" s="25" t="s">
        <v>42</v>
      </c>
      <c r="D15" s="25" t="s">
        <v>43</v>
      </c>
      <c r="E15" s="26" t="s">
        <v>23</v>
      </c>
      <c r="F15" s="26" t="s">
        <v>23</v>
      </c>
      <c r="G15" s="26" t="s">
        <v>23</v>
      </c>
      <c r="H15" s="26" t="s">
        <v>23</v>
      </c>
      <c r="I15" s="26" t="s">
        <v>23</v>
      </c>
      <c r="J15" s="26" t="s">
        <v>23</v>
      </c>
      <c r="K15" s="26" t="s">
        <v>23</v>
      </c>
    </row>
    <row r="16" ht="62" customHeight="1" spans="1:11">
      <c r="A16" s="24">
        <v>11</v>
      </c>
      <c r="B16" s="24" t="s">
        <v>39</v>
      </c>
      <c r="C16" s="25" t="s">
        <v>44</v>
      </c>
      <c r="D16" s="25" t="s">
        <v>45</v>
      </c>
      <c r="E16" s="26" t="s">
        <v>23</v>
      </c>
      <c r="F16" s="26" t="s">
        <v>23</v>
      </c>
      <c r="G16" s="26" t="s">
        <v>23</v>
      </c>
      <c r="H16" s="26" t="s">
        <v>23</v>
      </c>
      <c r="I16" s="26" t="s">
        <v>23</v>
      </c>
      <c r="J16" s="26" t="s">
        <v>23</v>
      </c>
      <c r="K16" s="26" t="s">
        <v>23</v>
      </c>
    </row>
    <row r="17" ht="62" customHeight="1" spans="1:11">
      <c r="A17" s="24">
        <v>12</v>
      </c>
      <c r="B17" s="24" t="s">
        <v>39</v>
      </c>
      <c r="C17" s="25" t="s">
        <v>46</v>
      </c>
      <c r="D17" s="25" t="s">
        <v>47</v>
      </c>
      <c r="E17" s="26" t="s">
        <v>23</v>
      </c>
      <c r="F17" s="26" t="s">
        <v>23</v>
      </c>
      <c r="G17" s="26" t="s">
        <v>23</v>
      </c>
      <c r="H17" s="26" t="s">
        <v>23</v>
      </c>
      <c r="I17" s="26" t="s">
        <v>23</v>
      </c>
      <c r="J17" s="26" t="s">
        <v>23</v>
      </c>
      <c r="K17" s="26" t="s">
        <v>23</v>
      </c>
    </row>
    <row r="18" ht="62" customHeight="1" spans="1:11">
      <c r="A18" s="24">
        <v>13</v>
      </c>
      <c r="B18" s="24" t="s">
        <v>39</v>
      </c>
      <c r="C18" s="25" t="s">
        <v>48</v>
      </c>
      <c r="D18" s="25" t="s">
        <v>49</v>
      </c>
      <c r="E18" s="26" t="s">
        <v>23</v>
      </c>
      <c r="F18" s="26" t="s">
        <v>23</v>
      </c>
      <c r="G18" s="26" t="s">
        <v>23</v>
      </c>
      <c r="H18" s="26" t="s">
        <v>23</v>
      </c>
      <c r="I18" s="26" t="s">
        <v>23</v>
      </c>
      <c r="J18" s="26" t="s">
        <v>23</v>
      </c>
      <c r="K18" s="26" t="s">
        <v>23</v>
      </c>
    </row>
    <row r="19" ht="62" customHeight="1" spans="1:11">
      <c r="A19" s="24">
        <v>14</v>
      </c>
      <c r="B19" s="24" t="s">
        <v>50</v>
      </c>
      <c r="C19" s="25" t="s">
        <v>51</v>
      </c>
      <c r="D19" s="25" t="s">
        <v>52</v>
      </c>
      <c r="E19" s="26" t="s">
        <v>23</v>
      </c>
      <c r="F19" s="26" t="s">
        <v>23</v>
      </c>
      <c r="G19" s="26" t="s">
        <v>23</v>
      </c>
      <c r="H19" s="26" t="s">
        <v>23</v>
      </c>
      <c r="I19" s="26" t="s">
        <v>23</v>
      </c>
      <c r="J19" s="26" t="s">
        <v>23</v>
      </c>
      <c r="K19" s="26" t="s">
        <v>23</v>
      </c>
    </row>
    <row r="20" ht="62" customHeight="1" spans="1:11">
      <c r="A20" s="24">
        <v>15</v>
      </c>
      <c r="B20" s="24" t="s">
        <v>50</v>
      </c>
      <c r="C20" s="25" t="s">
        <v>53</v>
      </c>
      <c r="D20" s="25" t="s">
        <v>54</v>
      </c>
      <c r="E20" s="26" t="s">
        <v>23</v>
      </c>
      <c r="F20" s="26" t="s">
        <v>23</v>
      </c>
      <c r="G20" s="26" t="s">
        <v>23</v>
      </c>
      <c r="H20" s="26" t="s">
        <v>23</v>
      </c>
      <c r="I20" s="26" t="s">
        <v>23</v>
      </c>
      <c r="J20" s="26" t="s">
        <v>23</v>
      </c>
      <c r="K20" s="26" t="s">
        <v>23</v>
      </c>
    </row>
    <row r="21" ht="62" customHeight="1" spans="1:11">
      <c r="A21" s="24">
        <v>16</v>
      </c>
      <c r="B21" s="24" t="s">
        <v>50</v>
      </c>
      <c r="C21" s="25" t="s">
        <v>55</v>
      </c>
      <c r="D21" s="25" t="s">
        <v>56</v>
      </c>
      <c r="E21" s="26" t="s">
        <v>23</v>
      </c>
      <c r="F21" s="26" t="s">
        <v>23</v>
      </c>
      <c r="G21" s="26" t="s">
        <v>23</v>
      </c>
      <c r="H21" s="26" t="s">
        <v>23</v>
      </c>
      <c r="I21" s="26" t="s">
        <v>23</v>
      </c>
      <c r="J21" s="26" t="s">
        <v>23</v>
      </c>
      <c r="K21" s="26" t="s">
        <v>23</v>
      </c>
    </row>
    <row r="22" ht="62" customHeight="1" spans="1:11">
      <c r="A22" s="24">
        <v>17</v>
      </c>
      <c r="B22" s="24" t="s">
        <v>57</v>
      </c>
      <c r="C22" s="25" t="s">
        <v>58</v>
      </c>
      <c r="D22" s="25" t="s">
        <v>59</v>
      </c>
      <c r="E22" s="26" t="s">
        <v>23</v>
      </c>
      <c r="F22" s="26" t="s">
        <v>23</v>
      </c>
      <c r="G22" s="26" t="s">
        <v>23</v>
      </c>
      <c r="H22" s="26" t="s">
        <v>23</v>
      </c>
      <c r="I22" s="26" t="s">
        <v>23</v>
      </c>
      <c r="J22" s="26" t="s">
        <v>23</v>
      </c>
      <c r="K22" s="26" t="s">
        <v>23</v>
      </c>
    </row>
    <row r="23" ht="62" customHeight="1" spans="1:11">
      <c r="A23" s="24">
        <v>18</v>
      </c>
      <c r="B23" s="24" t="s">
        <v>57</v>
      </c>
      <c r="C23" s="25" t="s">
        <v>60</v>
      </c>
      <c r="D23" s="25" t="s">
        <v>61</v>
      </c>
      <c r="E23" s="26" t="s">
        <v>23</v>
      </c>
      <c r="F23" s="26" t="s">
        <v>23</v>
      </c>
      <c r="G23" s="26" t="s">
        <v>23</v>
      </c>
      <c r="H23" s="26" t="s">
        <v>23</v>
      </c>
      <c r="I23" s="26" t="s">
        <v>23</v>
      </c>
      <c r="J23" s="26" t="s">
        <v>23</v>
      </c>
      <c r="K23" s="26" t="s">
        <v>23</v>
      </c>
    </row>
    <row r="24" ht="62" customHeight="1" spans="1:11">
      <c r="A24" s="24">
        <v>19</v>
      </c>
      <c r="B24" s="24" t="s">
        <v>57</v>
      </c>
      <c r="C24" s="25" t="s">
        <v>62</v>
      </c>
      <c r="D24" s="25" t="s">
        <v>63</v>
      </c>
      <c r="E24" s="26" t="s">
        <v>23</v>
      </c>
      <c r="F24" s="26" t="s">
        <v>23</v>
      </c>
      <c r="G24" s="26" t="s">
        <v>23</v>
      </c>
      <c r="H24" s="26" t="s">
        <v>23</v>
      </c>
      <c r="I24" s="26" t="s">
        <v>23</v>
      </c>
      <c r="J24" s="26" t="s">
        <v>23</v>
      </c>
      <c r="K24" s="26" t="s">
        <v>23</v>
      </c>
    </row>
    <row r="25" ht="62" customHeight="1" spans="1:11">
      <c r="A25" s="24">
        <v>20</v>
      </c>
      <c r="B25" s="24" t="s">
        <v>57</v>
      </c>
      <c r="C25" s="25" t="s">
        <v>64</v>
      </c>
      <c r="D25" s="25" t="s">
        <v>65</v>
      </c>
      <c r="E25" s="26" t="s">
        <v>23</v>
      </c>
      <c r="F25" s="26" t="s">
        <v>23</v>
      </c>
      <c r="G25" s="26" t="s">
        <v>23</v>
      </c>
      <c r="H25" s="26" t="s">
        <v>23</v>
      </c>
      <c r="I25" s="26" t="s">
        <v>23</v>
      </c>
      <c r="J25" s="26" t="s">
        <v>23</v>
      </c>
      <c r="K25" s="26" t="s">
        <v>23</v>
      </c>
    </row>
    <row r="26" ht="62" customHeight="1" spans="1:11">
      <c r="A26" s="24">
        <v>21</v>
      </c>
      <c r="B26" s="24" t="s">
        <v>57</v>
      </c>
      <c r="C26" s="25" t="s">
        <v>66</v>
      </c>
      <c r="D26" s="25" t="s">
        <v>67</v>
      </c>
      <c r="E26" s="26" t="s">
        <v>23</v>
      </c>
      <c r="F26" s="26" t="s">
        <v>23</v>
      </c>
      <c r="G26" s="26" t="s">
        <v>23</v>
      </c>
      <c r="H26" s="26" t="s">
        <v>23</v>
      </c>
      <c r="I26" s="26" t="s">
        <v>23</v>
      </c>
      <c r="J26" s="26" t="s">
        <v>23</v>
      </c>
      <c r="K26" s="26" t="s">
        <v>23</v>
      </c>
    </row>
    <row r="27" ht="62" customHeight="1" spans="1:11">
      <c r="A27" s="24">
        <v>22</v>
      </c>
      <c r="B27" s="24" t="s">
        <v>68</v>
      </c>
      <c r="C27" s="25" t="s">
        <v>69</v>
      </c>
      <c r="D27" s="25" t="s">
        <v>70</v>
      </c>
      <c r="E27" s="26" t="s">
        <v>23</v>
      </c>
      <c r="F27" s="26" t="s">
        <v>23</v>
      </c>
      <c r="G27" s="26" t="s">
        <v>23</v>
      </c>
      <c r="H27" s="26" t="s">
        <v>23</v>
      </c>
      <c r="I27" s="26" t="s">
        <v>23</v>
      </c>
      <c r="J27" s="26" t="s">
        <v>23</v>
      </c>
      <c r="K27" s="26" t="s">
        <v>23</v>
      </c>
    </row>
    <row r="28" ht="62" customHeight="1" spans="1:11">
      <c r="A28" s="24">
        <v>23</v>
      </c>
      <c r="B28" s="24" t="s">
        <v>68</v>
      </c>
      <c r="C28" s="25" t="s">
        <v>71</v>
      </c>
      <c r="D28" s="25" t="s">
        <v>72</v>
      </c>
      <c r="E28" s="26" t="s">
        <v>23</v>
      </c>
      <c r="F28" s="26" t="s">
        <v>23</v>
      </c>
      <c r="G28" s="26" t="s">
        <v>23</v>
      </c>
      <c r="H28" s="26" t="s">
        <v>23</v>
      </c>
      <c r="I28" s="26" t="s">
        <v>23</v>
      </c>
      <c r="J28" s="26" t="s">
        <v>23</v>
      </c>
      <c r="K28" s="26"/>
    </row>
  </sheetData>
  <mergeCells count="4">
    <mergeCell ref="A1:K1"/>
    <mergeCell ref="H2:K2"/>
    <mergeCell ref="D3:F3"/>
    <mergeCell ref="J3:K3"/>
  </mergeCells>
  <conditionalFormatting sqref="H6:H28">
    <cfRule type="containsText" dxfId="0" priority="1" operator="between" text="改变决策">
      <formula>NOT(ISERROR(SEARCH("改变决策",H6)))</formula>
    </cfRule>
    <cfRule type="containsText" dxfId="1" priority="2" operator="between" text="促使复核">
      <formula>NOT(ISERROR(SEARCH("促使复核",H6)))</formula>
    </cfRule>
    <cfRule type="containsText" dxfId="2" priority="3" operator="between" text="无明显影响">
      <formula>NOT(ISERROR(SEARCH("无明显影响",H6)))</formula>
    </cfRule>
  </conditionalFormatting>
  <conditionalFormatting sqref="I6:I28">
    <cfRule type="containsText" dxfId="1" priority="4" operator="between" text="正向">
      <formula>NOT(ISERROR(SEARCH("正向",I6)))</formula>
    </cfRule>
    <cfRule type="containsText" dxfId="2" priority="5" operator="between" text="负向">
      <formula>NOT(ISERROR(SEARCH("负向",I6)))</formula>
    </cfRule>
    <cfRule type="containsText" dxfId="3" priority="6" operator="between" text="材料不足">
      <formula>NOT(ISERROR(SEARCH("材料不足",I6)))</formula>
    </cfRule>
  </conditionalFormatting>
  <dataValidations count="7">
    <dataValidation type="list" sqref="B3">
      <formula1>"是,部分参与,否,待确认"</formula1>
    </dataValidation>
    <dataValidation type="list" sqref="H3">
      <formula1>"未开始,进行中,已完成"</formula1>
    </dataValidation>
    <dataValidation type="list" sqref="J3">
      <formula1>"真实数据对照讲解,结果复核会,补充访谈"</formula1>
    </dataValidation>
    <dataValidation type="list" sqref="F6:F28">
      <formula1>"事实,客户判断,未来设想,待验证"</formula1>
    </dataValidation>
    <dataValidation type="list" sqref="G6:G28">
      <formula1>"是,否,未追问"</formula1>
    </dataValidation>
    <dataValidation type="list" sqref="H6:H28">
      <formula1>"改变决策,促使复核,增强信心,仅提升理解,无明显影响,材料不足"</formula1>
    </dataValidation>
    <dataValidation type="list" sqref="I6:I28">
      <formula1>"正向,条件正向,中性,负向,材料不足"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showGridLines="0" topLeftCell="A28" workbookViewId="0">
      <selection activeCell="B34" sqref="B34:E34"/>
    </sheetView>
  </sheetViews>
  <sheetFormatPr defaultColWidth="9" defaultRowHeight="14.25" outlineLevelCol="4"/>
  <cols>
    <col min="1" max="1" width="35" customWidth="1"/>
    <col min="2" max="2" width="20" customWidth="1"/>
    <col min="3" max="4" width="30" customWidth="1"/>
    <col min="5" max="5" width="28" customWidth="1"/>
  </cols>
  <sheetData>
    <row r="1" ht="34" customHeight="1" spans="1:5">
      <c r="A1" s="1" t="s">
        <v>73</v>
      </c>
      <c r="B1" s="1"/>
      <c r="C1" s="1"/>
      <c r="D1" s="1"/>
      <c r="E1" s="1"/>
    </row>
    <row r="2" ht="16.5" spans="1:5">
      <c r="A2" s="2"/>
      <c r="B2" s="2"/>
      <c r="C2" s="2"/>
      <c r="D2" s="2"/>
      <c r="E2" s="2"/>
    </row>
    <row r="3" ht="16.5" spans="1:5">
      <c r="A3" s="3" t="s">
        <v>1</v>
      </c>
      <c r="B3" s="4"/>
      <c r="C3" s="3" t="s">
        <v>2</v>
      </c>
      <c r="D3" s="4"/>
      <c r="E3" s="3" t="s">
        <v>7</v>
      </c>
    </row>
    <row r="4" ht="16.5" spans="1:5">
      <c r="A4" s="5" t="str">
        <f>IF(LEN(访谈记录!B2)=0,"",访谈记录!B2)</f>
        <v/>
      </c>
      <c r="B4" s="6"/>
      <c r="C4" s="6" t="str">
        <f>IF(LEN(访谈记录!D2)=0,"",访谈记录!D2)</f>
        <v/>
      </c>
      <c r="D4" s="6"/>
      <c r="E4" s="6" t="str">
        <f>IF(LEN(访谈记录!H3)=0,"",访谈记录!H3)</f>
        <v/>
      </c>
    </row>
    <row r="5" ht="16.5" spans="1:5">
      <c r="A5" s="2"/>
      <c r="B5" s="2"/>
      <c r="C5" s="2"/>
      <c r="D5" s="2"/>
      <c r="E5" s="2"/>
    </row>
    <row r="6" ht="15" spans="1:5">
      <c r="A6" s="7" t="s">
        <v>74</v>
      </c>
      <c r="B6" s="7"/>
      <c r="C6" s="7"/>
      <c r="D6" s="7"/>
      <c r="E6" s="7"/>
    </row>
    <row r="7" ht="16.5" spans="1:5">
      <c r="A7" s="8" t="s">
        <v>75</v>
      </c>
      <c r="B7" s="8" t="s">
        <v>76</v>
      </c>
      <c r="C7" s="8" t="s">
        <v>77</v>
      </c>
      <c r="D7" s="8" t="s">
        <v>78</v>
      </c>
      <c r="E7" s="8" t="s">
        <v>79</v>
      </c>
    </row>
    <row r="8" ht="48" customHeight="1" spans="1:5">
      <c r="A8" s="9" t="s">
        <v>80</v>
      </c>
      <c r="B8" s="10" t="s">
        <v>23</v>
      </c>
      <c r="C8" s="10" t="s">
        <v>23</v>
      </c>
      <c r="D8" s="10" t="s">
        <v>23</v>
      </c>
      <c r="E8" s="10" t="s">
        <v>23</v>
      </c>
    </row>
    <row r="9" ht="48" customHeight="1" spans="1:5">
      <c r="A9" s="9" t="s">
        <v>81</v>
      </c>
      <c r="B9" s="10" t="s">
        <v>23</v>
      </c>
      <c r="C9" s="10" t="s">
        <v>23</v>
      </c>
      <c r="D9" s="10" t="s">
        <v>23</v>
      </c>
      <c r="E9" s="10" t="s">
        <v>23</v>
      </c>
    </row>
    <row r="10" ht="48" customHeight="1" spans="1:5">
      <c r="A10" s="9" t="s">
        <v>82</v>
      </c>
      <c r="B10" s="10" t="s">
        <v>23</v>
      </c>
      <c r="C10" s="10" t="s">
        <v>23</v>
      </c>
      <c r="D10" s="10" t="s">
        <v>23</v>
      </c>
      <c r="E10" s="10" t="s">
        <v>23</v>
      </c>
    </row>
    <row r="11" ht="48" customHeight="1" spans="1:5">
      <c r="A11" s="9" t="s">
        <v>83</v>
      </c>
      <c r="B11" s="10" t="s">
        <v>23</v>
      </c>
      <c r="C11" s="10" t="s">
        <v>23</v>
      </c>
      <c r="D11" s="10" t="s">
        <v>23</v>
      </c>
      <c r="E11" s="10" t="s">
        <v>23</v>
      </c>
    </row>
    <row r="12" ht="48" customHeight="1" spans="1:5">
      <c r="A12" s="9" t="s">
        <v>84</v>
      </c>
      <c r="B12" s="10" t="s">
        <v>23</v>
      </c>
      <c r="C12" s="10" t="s">
        <v>23</v>
      </c>
      <c r="D12" s="10" t="s">
        <v>23</v>
      </c>
      <c r="E12" s="10" t="s">
        <v>23</v>
      </c>
    </row>
    <row r="13" ht="16.5" spans="1:5">
      <c r="A13" s="2"/>
      <c r="B13" s="2"/>
      <c r="C13" s="2"/>
      <c r="D13" s="2"/>
      <c r="E13" s="2"/>
    </row>
    <row r="14" ht="15" spans="1:5">
      <c r="A14" s="11" t="s">
        <v>85</v>
      </c>
      <c r="B14" s="11"/>
      <c r="C14" s="11"/>
      <c r="D14" s="11"/>
      <c r="E14" s="11"/>
    </row>
    <row r="15" ht="16.5" spans="1:5">
      <c r="A15" s="12" t="s">
        <v>86</v>
      </c>
      <c r="B15" s="12" t="s">
        <v>87</v>
      </c>
      <c r="C15" s="12" t="s">
        <v>88</v>
      </c>
      <c r="D15" s="2"/>
      <c r="E15" s="2"/>
    </row>
    <row r="16" ht="16.5" spans="1:5">
      <c r="A16" s="13" t="s">
        <v>89</v>
      </c>
      <c r="B16" s="14">
        <f>COUNTIF(访谈记录!$I$6:$I$28,A16)</f>
        <v>0</v>
      </c>
      <c r="C16" s="13" t="s">
        <v>90</v>
      </c>
      <c r="D16" s="2"/>
      <c r="E16" s="2"/>
    </row>
    <row r="17" ht="16.5" spans="1:5">
      <c r="A17" s="13" t="s">
        <v>91</v>
      </c>
      <c r="B17" s="14">
        <f>COUNTIF(访谈记录!$I$6:$I$28,A17)</f>
        <v>0</v>
      </c>
      <c r="C17" s="13" t="s">
        <v>92</v>
      </c>
      <c r="D17" s="2"/>
      <c r="E17" s="2"/>
    </row>
    <row r="18" ht="16.5" spans="1:5">
      <c r="A18" s="13" t="s">
        <v>93</v>
      </c>
      <c r="B18" s="14">
        <f>COUNTIF(访谈记录!$I$6:$I$28,A18)</f>
        <v>0</v>
      </c>
      <c r="C18" s="13" t="s">
        <v>94</v>
      </c>
      <c r="D18" s="2"/>
      <c r="E18" s="2"/>
    </row>
    <row r="19" ht="16.5" spans="1:5">
      <c r="A19" s="13" t="s">
        <v>95</v>
      </c>
      <c r="B19" s="14">
        <f>COUNTIF(访谈记录!$I$6:$I$28,A19)</f>
        <v>0</v>
      </c>
      <c r="C19" s="13" t="s">
        <v>96</v>
      </c>
      <c r="D19" s="2"/>
      <c r="E19" s="2"/>
    </row>
    <row r="20" ht="16.5" spans="1:5">
      <c r="A20" s="13" t="s">
        <v>97</v>
      </c>
      <c r="B20" s="14">
        <f>COUNTIF(访谈记录!$I$6:$I$28,A20)</f>
        <v>0</v>
      </c>
      <c r="C20" s="13" t="s">
        <v>98</v>
      </c>
      <c r="D20" s="2"/>
      <c r="E20" s="2"/>
    </row>
    <row r="21" ht="16.5" spans="1:5">
      <c r="A21" s="2"/>
      <c r="B21" s="2"/>
      <c r="C21" s="2"/>
      <c r="D21" s="2"/>
      <c r="E21" s="2"/>
    </row>
    <row r="22" ht="15" spans="1:5">
      <c r="A22" s="11" t="s">
        <v>99</v>
      </c>
      <c r="B22" s="11"/>
      <c r="C22" s="11"/>
      <c r="D22" s="11"/>
      <c r="E22" s="11"/>
    </row>
    <row r="23" ht="16.5" spans="1:5">
      <c r="A23" s="15" t="s">
        <v>100</v>
      </c>
      <c r="B23" s="16" t="s">
        <v>23</v>
      </c>
      <c r="C23" s="15" t="s">
        <v>101</v>
      </c>
      <c r="D23" s="17" t="str">
        <f>COUNTIF(访谈记录!$E$6:$E$28,"?*")&amp;"/23"</f>
        <v>0/23</v>
      </c>
      <c r="E23" s="17" t="s">
        <v>23</v>
      </c>
    </row>
    <row r="24" ht="54" customHeight="1" spans="1:5">
      <c r="A24" s="18" t="s">
        <v>102</v>
      </c>
      <c r="B24" s="16" t="s">
        <v>23</v>
      </c>
      <c r="C24" s="16" t="s">
        <v>23</v>
      </c>
      <c r="D24" s="16" t="s">
        <v>23</v>
      </c>
      <c r="E24" s="16" t="s">
        <v>23</v>
      </c>
    </row>
    <row r="25" ht="54" customHeight="1" spans="1:5">
      <c r="A25" s="17" t="s">
        <v>23</v>
      </c>
      <c r="B25" s="16" t="s">
        <v>23</v>
      </c>
      <c r="C25" s="16" t="s">
        <v>23</v>
      </c>
      <c r="D25" s="16" t="s">
        <v>23</v>
      </c>
      <c r="E25" s="16" t="s">
        <v>23</v>
      </c>
    </row>
    <row r="26" ht="54" customHeight="1" spans="1:5">
      <c r="A26" s="18" t="s">
        <v>103</v>
      </c>
      <c r="B26" s="16" t="s">
        <v>23</v>
      </c>
      <c r="C26" s="16" t="s">
        <v>23</v>
      </c>
      <c r="D26" s="16" t="s">
        <v>23</v>
      </c>
      <c r="E26" s="16" t="s">
        <v>23</v>
      </c>
    </row>
    <row r="27" ht="54" customHeight="1" spans="1:5">
      <c r="A27" s="17" t="s">
        <v>23</v>
      </c>
      <c r="B27" s="16" t="s">
        <v>23</v>
      </c>
      <c r="C27" s="16" t="s">
        <v>23</v>
      </c>
      <c r="D27" s="16" t="s">
        <v>23</v>
      </c>
      <c r="E27" s="16" t="s">
        <v>23</v>
      </c>
    </row>
    <row r="28" ht="54" customHeight="1" spans="1:5">
      <c r="A28" s="18" t="s">
        <v>104</v>
      </c>
      <c r="B28" s="16" t="s">
        <v>23</v>
      </c>
      <c r="C28" s="16" t="s">
        <v>23</v>
      </c>
      <c r="D28" s="16" t="s">
        <v>23</v>
      </c>
      <c r="E28" s="16" t="s">
        <v>23</v>
      </c>
    </row>
    <row r="29" ht="54" customHeight="1" spans="1:5">
      <c r="A29" s="17" t="s">
        <v>23</v>
      </c>
      <c r="B29" s="16" t="s">
        <v>23</v>
      </c>
      <c r="C29" s="16" t="s">
        <v>23</v>
      </c>
      <c r="D29" s="16" t="s">
        <v>23</v>
      </c>
      <c r="E29" s="16" t="s">
        <v>23</v>
      </c>
    </row>
    <row r="30" ht="54" customHeight="1" spans="1:5">
      <c r="A30" s="18" t="s">
        <v>105</v>
      </c>
      <c r="B30" s="16" t="s">
        <v>23</v>
      </c>
      <c r="C30" s="16" t="s">
        <v>23</v>
      </c>
      <c r="D30" s="16" t="s">
        <v>23</v>
      </c>
      <c r="E30" s="16" t="s">
        <v>23</v>
      </c>
    </row>
    <row r="31" ht="54" customHeight="1" spans="1:5">
      <c r="A31" s="17" t="s">
        <v>23</v>
      </c>
      <c r="B31" s="16" t="s">
        <v>23</v>
      </c>
      <c r="C31" s="16" t="s">
        <v>23</v>
      </c>
      <c r="D31" s="16" t="s">
        <v>23</v>
      </c>
      <c r="E31" s="16" t="s">
        <v>23</v>
      </c>
    </row>
    <row r="32" ht="34" customHeight="1" spans="1:5">
      <c r="A32" s="18" t="s">
        <v>106</v>
      </c>
      <c r="B32" s="16" t="s">
        <v>23</v>
      </c>
      <c r="C32" s="19" t="s">
        <v>107</v>
      </c>
      <c r="D32" s="16" t="s">
        <v>23</v>
      </c>
      <c r="E32" s="16" t="s">
        <v>23</v>
      </c>
    </row>
    <row r="33" ht="34" customHeight="1" spans="1:5">
      <c r="A33" s="18" t="s">
        <v>108</v>
      </c>
      <c r="B33" s="16" t="s">
        <v>23</v>
      </c>
      <c r="C33" s="16" t="s">
        <v>23</v>
      </c>
      <c r="D33" s="16" t="s">
        <v>23</v>
      </c>
      <c r="E33" s="16" t="s">
        <v>23</v>
      </c>
    </row>
    <row r="34" ht="34" customHeight="1" spans="1:5">
      <c r="A34" s="18" t="s">
        <v>109</v>
      </c>
      <c r="B34" s="16" t="s">
        <v>23</v>
      </c>
      <c r="C34" s="16" t="s">
        <v>23</v>
      </c>
      <c r="D34" s="16" t="s">
        <v>23</v>
      </c>
      <c r="E34" s="16" t="s">
        <v>23</v>
      </c>
    </row>
  </sheetData>
  <mergeCells count="11">
    <mergeCell ref="A1:E1"/>
    <mergeCell ref="A6:E6"/>
    <mergeCell ref="A14:E14"/>
    <mergeCell ref="A22:E22"/>
    <mergeCell ref="D23:E23"/>
    <mergeCell ref="B33:E33"/>
    <mergeCell ref="B34:E34"/>
    <mergeCell ref="B24:E25"/>
    <mergeCell ref="B26:E27"/>
    <mergeCell ref="B28:E29"/>
    <mergeCell ref="B30:E31"/>
  </mergeCells>
  <conditionalFormatting sqref="B23">
    <cfRule type="containsText" dxfId="4" priority="5" operator="between" text="通过">
      <formula>NOT(ISERROR(SEARCH("通过",B23)))</formula>
    </cfRule>
    <cfRule type="containsText" dxfId="5" priority="6" operator="between" text="不通过">
      <formula>NOT(ISERROR(SEARCH("不通过",B23)))</formula>
    </cfRule>
    <cfRule type="containsText" dxfId="3" priority="7" operator="between" text="材料不足">
      <formula>NOT(ISERROR(SEARCH("材料不足",B23)))</formula>
    </cfRule>
  </conditionalFormatting>
  <conditionalFormatting sqref="B8:B12">
    <cfRule type="containsText" dxfId="0" priority="1" operator="between" text="强成立">
      <formula>NOT(ISERROR(SEARCH("强成立",B8)))</formula>
    </cfRule>
    <cfRule type="containsText" dxfId="1" priority="2" operator="between" text="条件成立">
      <formula>NOT(ISERROR(SEARCH("条件成立",B8)))</formula>
    </cfRule>
    <cfRule type="containsText" dxfId="2" priority="3" operator="between" text="不成立">
      <formula>NOT(ISERROR(SEARCH("不成立",B8)))</formula>
    </cfRule>
    <cfRule type="containsText" dxfId="3" priority="4" operator="between" text="材料不足">
      <formula>NOT(ISERROR(SEARCH("材料不足",B8)))</formula>
    </cfRule>
  </conditionalFormatting>
  <dataValidations count="2">
    <dataValidation type="list" sqref="B23">
      <formula1>"通过,条件通过,不通过,材料不足"</formula1>
    </dataValidation>
    <dataValidation type="list" sqref="B8:B12">
      <formula1>"强成立,条件成立,弱成立,不成立,材料不足，暂不判断"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showGridLines="0" topLeftCell="A15" workbookViewId="0">
      <selection activeCell="F21" sqref="A$1:F$1048576"/>
    </sheetView>
  </sheetViews>
  <sheetFormatPr defaultColWidth="9" defaultRowHeight="14.25"/>
  <sheetData>
    <row r="1" ht="34" customHeight="1"/>
    <row r="4" ht="34" customHeight="1"/>
    <row r="5" ht="34" customHeight="1"/>
    <row r="6" ht="34" customHeight="1"/>
    <row r="7" ht="28" customHeight="1"/>
    <row r="8" ht="28" customHeight="1"/>
    <row r="9" ht="30" customHeight="1"/>
    <row r="10" ht="30" customHeight="1"/>
    <row r="11" ht="30" customHeight="1"/>
    <row r="12" ht="30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访谈记录</vt:lpstr>
      <vt:lpstr>结论汇总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王丽</cp:lastModifiedBy>
  <dcterms:created xsi:type="dcterms:W3CDTF">2026-07-17T06:53:25Z</dcterms:created>
  <dcterms:modified xsi:type="dcterms:W3CDTF">2026-07-17T06:55:42Z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B565A966E0EB4268AAA5213B0C5F07CE_12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